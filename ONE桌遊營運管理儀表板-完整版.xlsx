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標追蹤" sheetId="1" state="visible" r:id="rId1"/>
    <sheet xmlns:r="http://schemas.openxmlformats.org/officeDocument/2006/relationships" name="潛在客戶" sheetId="2" state="visible" r:id="rId2"/>
    <sheet xmlns:r="http://schemas.openxmlformats.org/officeDocument/2006/relationships" name="已簽約店家" sheetId="3" state="visible" r:id="rId3"/>
    <sheet xmlns:r="http://schemas.openxmlformats.org/officeDocument/2006/relationships" name="場地開發" sheetId="4" state="visible" r:id="rId4"/>
    <sheet xmlns:r="http://schemas.openxmlformats.org/officeDocument/2006/relationships" name="待辦事項" sheetId="5" state="visible" r:id="rId5"/>
    <sheet xmlns:r="http://schemas.openxmlformats.org/officeDocument/2006/relationships" name="區域配額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項目</t>
        </is>
      </c>
      <c r="B1" s="1" t="inlineStr">
        <is>
          <t>年度目標</t>
        </is>
      </c>
      <c r="C1" s="1" t="inlineStr">
        <is>
          <t>已達成</t>
        </is>
      </c>
      <c r="D1" s="1" t="inlineStr">
        <is>
          <t>達成率</t>
        </is>
      </c>
      <c r="E1" s="1" t="inlineStr">
        <is>
          <t>月度目標</t>
        </is>
      </c>
      <c r="F1" s="1" t="inlineStr">
        <is>
          <t>本月達成</t>
        </is>
      </c>
      <c r="G1" s="1" t="inlineStr">
        <is>
          <t>月達成率</t>
        </is>
      </c>
    </row>
    <row r="2">
      <c r="A2" t="inlineStr">
        <is>
          <t>新簽約店家</t>
        </is>
      </c>
      <c r="B2" t="n">
        <v>50</v>
      </c>
      <c r="C2">
        <f>COUNTA(已簽約店家!A2:A)</f>
        <v/>
      </c>
      <c r="D2" s="2">
        <f>C2/B2</f>
        <v/>
      </c>
      <c r="E2" t="n">
        <v>4</v>
      </c>
      <c r="F2">
        <f>COUNTIFS(已簽約店家!J2:J,"&gt;="&amp;DATE(YEAR(TODAY()),MONTH(TODAY()),1),已簽約店家!J2:J,"&lt;"&amp;DATE(YEAR(TODAY()),MONTH(TODAY())+1,1))</f>
        <v/>
      </c>
      <c r="G2" s="2">
        <f>F2/E2</f>
        <v/>
      </c>
    </row>
    <row r="3">
      <c r="A3" t="inlineStr">
        <is>
          <t>場地開發</t>
        </is>
      </c>
      <c r="B3" t="n">
        <v>20</v>
      </c>
      <c r="C3">
        <f>COUNTIF(場地開發!H2:H,"已確認")</f>
        <v/>
      </c>
      <c r="D3" s="2">
        <f>C3/B3</f>
        <v/>
      </c>
      <c r="E3" t="n">
        <v>2</v>
      </c>
      <c r="F3">
        <f>COUNTIFS(場地開發!J2:J,"&gt;="&amp;DATE(YEAR(TODAY()),MONTH(TODAY()),1),場地開發!J2:J,"&lt;"&amp;DATE(YEAR(TODAY()),MONTH(TODAY())+1,1),場地開發!H2:H,"已確認")</f>
        <v/>
      </c>
      <c r="G3" s="2">
        <f>F3/E3</f>
        <v/>
      </c>
    </row>
    <row r="4">
      <c r="A4" t="inlineStr">
        <is>
          <t>開幕店家</t>
        </is>
      </c>
      <c r="B4" t="n">
        <v>40</v>
      </c>
      <c r="C4">
        <f>COUNTIF(已簽約店家!F2:F,"營運中")</f>
        <v/>
      </c>
      <c r="D4" s="2">
        <f>C4/B4</f>
        <v/>
      </c>
      <c r="E4" t="n">
        <v>3</v>
      </c>
      <c r="F4">
        <f>COUNTIFS(已簽約店家!K2:K,"&gt;="&amp;DATE(YEAR(TODAY()),MONTH(TODAY()),1),已簽約店家!F2:F,"營運中")</f>
        <v/>
      </c>
      <c r="G4" s="2">
        <f>F4/E4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7" customWidth="1" min="1" max="1"/>
    <col width="5" customWidth="1" min="2" max="2"/>
    <col width="14" customWidth="1" min="3" max="3"/>
    <col width="6" customWidth="1" min="4" max="4"/>
    <col width="6" customWidth="1" min="5" max="5"/>
    <col width="5" customWidth="1" min="6" max="6"/>
    <col width="12" customWidth="1" min="7" max="7"/>
    <col width="10" customWidth="1" min="8" max="8"/>
  </cols>
  <sheetData>
    <row r="1">
      <c r="A1" s="1" t="inlineStr">
        <is>
          <t>客戶名稱</t>
        </is>
      </c>
      <c r="B1" s="1" t="inlineStr">
        <is>
          <t>聯絡人</t>
        </is>
      </c>
      <c r="C1" s="1" t="inlineStr">
        <is>
          <t>電話</t>
        </is>
      </c>
      <c r="D1" s="1" t="inlineStr">
        <is>
          <t>地區</t>
        </is>
      </c>
      <c r="E1" s="1" t="inlineStr">
        <is>
          <t>階段</t>
        </is>
      </c>
      <c r="F1" s="1" t="inlineStr">
        <is>
          <t>負責人</t>
        </is>
      </c>
      <c r="G1" s="1" t="inlineStr">
        <is>
          <t>最後聯絡日</t>
        </is>
      </c>
      <c r="H1" s="1" t="inlineStr">
        <is>
          <t>備註</t>
        </is>
      </c>
    </row>
    <row r="2">
      <c r="A2" t="inlineStr">
        <is>
          <t>王先生物件</t>
        </is>
      </c>
      <c r="B2" t="inlineStr">
        <is>
          <t>王大明</t>
        </is>
      </c>
      <c r="C2" t="inlineStr">
        <is>
          <t>0912-345-678</t>
        </is>
      </c>
      <c r="D2" t="inlineStr">
        <is>
          <t>台北信義</t>
        </is>
      </c>
      <c r="E2" t="inlineStr">
        <is>
          <t>接近成交</t>
        </is>
      </c>
      <c r="F2" t="inlineStr">
        <is>
          <t>建佑</t>
        </is>
      </c>
      <c r="G2" t="inlineStr">
        <is>
          <t>2026-03-20</t>
        </is>
      </c>
      <c r="H2" t="inlineStr">
        <is>
          <t>已看場地準備簽約</t>
        </is>
      </c>
    </row>
    <row r="3">
      <c r="A3" t="inlineStr">
        <is>
          <t>李小姐物件</t>
        </is>
      </c>
      <c r="B3" t="inlineStr">
        <is>
          <t>李美美</t>
        </is>
      </c>
      <c r="C3" t="inlineStr">
        <is>
          <t>0922-111-222</t>
        </is>
      </c>
      <c r="D3" t="inlineStr">
        <is>
          <t>台中西屯</t>
        </is>
      </c>
      <c r="E3" t="inlineStr">
        <is>
          <t>有意願</t>
        </is>
      </c>
      <c r="F3" t="inlineStr">
        <is>
          <t>阿建</t>
        </is>
      </c>
      <c r="G3" t="inlineStr">
        <is>
          <t>2026-03-18</t>
        </is>
      </c>
      <c r="H3" t="inlineStr">
        <is>
          <t>等預算確認</t>
        </is>
      </c>
    </row>
    <row r="4">
      <c r="A4" t="inlineStr">
        <is>
          <t>張先生物件</t>
        </is>
      </c>
      <c r="B4" t="inlineStr">
        <is>
          <t>張三</t>
        </is>
      </c>
      <c r="C4" t="inlineStr">
        <is>
          <t>0933-444-555</t>
        </is>
      </c>
      <c r="D4" t="inlineStr">
        <is>
          <t>高雄左營</t>
        </is>
      </c>
      <c r="E4" t="inlineStr">
        <is>
          <t>新詢問</t>
        </is>
      </c>
      <c r="F4" t="inlineStr">
        <is>
          <t>大點</t>
        </is>
      </c>
      <c r="G4" t="inlineStr">
        <is>
          <t>2026-03-21</t>
        </is>
      </c>
      <c r="H4" t="inlineStr">
        <is>
          <t>初次接觸</t>
        </is>
      </c>
    </row>
    <row r="5">
      <c r="A5" t="inlineStr">
        <is>
          <t>陳小姐物件</t>
        </is>
      </c>
      <c r="B5" t="inlineStr">
        <is>
          <t>陳四</t>
        </is>
      </c>
      <c r="C5" t="inlineStr">
        <is>
          <t>0944-666-777</t>
        </is>
      </c>
      <c r="D5" t="inlineStr">
        <is>
          <t>桃園中壢</t>
        </is>
      </c>
      <c r="E5" t="inlineStr">
        <is>
          <t>接近成交</t>
        </is>
      </c>
      <c r="F5" t="inlineStr">
        <is>
          <t>建佑</t>
        </is>
      </c>
      <c r="G5" t="inlineStr">
        <is>
          <t>2026-03-19</t>
        </is>
      </c>
      <c r="H5" t="inlineStr">
        <is>
          <t>本週簽約</t>
        </is>
      </c>
    </row>
    <row r="6">
      <c r="A6" t="inlineStr">
        <is>
          <t>林先生物件</t>
        </is>
      </c>
      <c r="B6" t="inlineStr">
        <is>
          <t>林五</t>
        </is>
      </c>
      <c r="C6" t="inlineStr">
        <is>
          <t>0955-888-999</t>
        </is>
      </c>
      <c r="D6" t="inlineStr">
        <is>
          <t>台南東區</t>
        </is>
      </c>
      <c r="E6" t="inlineStr">
        <is>
          <t>有意願</t>
        </is>
      </c>
      <c r="F6" t="inlineStr">
        <is>
          <t>阿建</t>
        </is>
      </c>
      <c r="G6" t="inlineStr">
        <is>
          <t>2026-03-17</t>
        </is>
      </c>
      <c r="H6" t="inlineStr">
        <is>
          <t>場地評估中</t>
        </is>
      </c>
    </row>
    <row r="7">
      <c r="A7" t="inlineStr">
        <is>
          <t>黃先生物件</t>
        </is>
      </c>
      <c r="B7" t="inlineStr">
        <is>
          <t>黃六</t>
        </is>
      </c>
      <c r="C7" t="inlineStr">
        <is>
          <t>0966-111-222</t>
        </is>
      </c>
      <c r="D7" t="inlineStr">
        <is>
          <t>新竹東區</t>
        </is>
      </c>
      <c r="E7" t="inlineStr">
        <is>
          <t>新詢問</t>
        </is>
      </c>
      <c r="F7" t="inlineStr">
        <is>
          <t>大點</t>
        </is>
      </c>
      <c r="G7" t="inlineStr">
        <is>
          <t>2026-03-22</t>
        </is>
      </c>
      <c r="H7" t="inlineStr">
        <is>
          <t>剛打來詢問</t>
        </is>
      </c>
    </row>
    <row r="8">
      <c r="A8" t="inlineStr">
        <is>
          <t>吳小姐物件</t>
        </is>
      </c>
      <c r="B8" t="inlineStr">
        <is>
          <t>吳七</t>
        </is>
      </c>
      <c r="C8" t="inlineStr">
        <is>
          <t>0977-333-444</t>
        </is>
      </c>
      <c r="D8" t="inlineStr">
        <is>
          <t>台中北區</t>
        </is>
      </c>
      <c r="E8" t="inlineStr">
        <is>
          <t>有意願</t>
        </is>
      </c>
      <c r="F8" t="inlineStr">
        <is>
          <t>建佑</t>
        </is>
      </c>
      <c r="G8" t="inlineStr">
        <is>
          <t>2026-03-16</t>
        </is>
      </c>
      <c r="H8" t="inlineStr">
        <is>
          <t>等看場地</t>
        </is>
      </c>
    </row>
    <row r="9">
      <c r="A9" t="inlineStr">
        <is>
          <t>劉先生物件</t>
        </is>
      </c>
      <c r="B9" t="inlineStr">
        <is>
          <t>劉八</t>
        </is>
      </c>
      <c r="C9" t="inlineStr">
        <is>
          <t>0988-555-666</t>
        </is>
      </c>
      <c r="D9" t="inlineStr">
        <is>
          <t>台南中西</t>
        </is>
      </c>
      <c r="E9" t="inlineStr">
        <is>
          <t>接近成交</t>
        </is>
      </c>
      <c r="F9" t="inlineStr">
        <is>
          <t>阿建</t>
        </is>
      </c>
      <c r="G9" t="inlineStr">
        <is>
          <t>2026-03-21</t>
        </is>
      </c>
      <c r="H9" t="inlineStr">
        <is>
          <t>談價格中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5" customWidth="1" min="2" max="2"/>
    <col width="5" customWidth="1" min="3" max="3"/>
    <col width="18" customWidth="1" min="4" max="4"/>
    <col width="7" customWidth="1" min="5" max="5"/>
    <col width="5" customWidth="1" min="6" max="6"/>
    <col width="6" customWidth="1" min="7" max="7"/>
    <col width="5" customWidth="1" min="8" max="8"/>
    <col width="5" customWidth="1" min="9" max="9"/>
    <col width="12" customWidth="1" min="10" max="10"/>
    <col width="12" customWidth="1" min="11" max="11"/>
    <col width="7" customWidth="1" min="12" max="12"/>
  </cols>
  <sheetData>
    <row r="1">
      <c r="A1" s="1" t="inlineStr">
        <is>
          <t>店名</t>
        </is>
      </c>
      <c r="B1" s="1" t="inlineStr">
        <is>
          <t>縣市</t>
        </is>
      </c>
      <c r="C1" s="1" t="inlineStr">
        <is>
          <t>行政區</t>
        </is>
      </c>
      <c r="D1" s="1" t="inlineStr">
        <is>
          <t>地址</t>
        </is>
      </c>
      <c r="E1" s="1" t="inlineStr">
        <is>
          <t>品牌</t>
        </is>
      </c>
      <c r="F1" s="1" t="inlineStr">
        <is>
          <t>狀態</t>
        </is>
      </c>
      <c r="G1" s="1" t="inlineStr">
        <is>
          <t>階段</t>
        </is>
      </c>
      <c r="H1" s="1" t="inlineStr">
        <is>
          <t>進度%</t>
        </is>
      </c>
      <c r="I1" s="1" t="inlineStr">
        <is>
          <t>負責人</t>
        </is>
      </c>
      <c r="J1" s="1" t="inlineStr">
        <is>
          <t>簽約日</t>
        </is>
      </c>
      <c r="K1" s="1" t="inlineStr">
        <is>
          <t>預計開幕日</t>
        </is>
      </c>
      <c r="L1" s="1" t="inlineStr">
        <is>
          <t>備註</t>
        </is>
      </c>
    </row>
    <row r="2">
      <c r="A2" t="inlineStr">
        <is>
          <t>ONE台中西屯店</t>
        </is>
      </c>
      <c r="B2" t="inlineStr">
        <is>
          <t>台中市</t>
        </is>
      </c>
      <c r="C2" t="inlineStr">
        <is>
          <t>西屯區</t>
        </is>
      </c>
      <c r="D2" t="inlineStr">
        <is>
          <t>台中市西屯區中工二路123號</t>
        </is>
      </c>
      <c r="E2" t="inlineStr">
        <is>
          <t>ONE桌遊</t>
        </is>
      </c>
      <c r="F2" t="inlineStr">
        <is>
          <t>籌備中</t>
        </is>
      </c>
      <c r="G2" t="inlineStr">
        <is>
          <t>設備安裝</t>
        </is>
      </c>
      <c r="H2" t="inlineStr">
        <is>
          <t>80</t>
        </is>
      </c>
      <c r="I2" t="inlineStr">
        <is>
          <t>建佑</t>
        </is>
      </c>
      <c r="J2" t="inlineStr">
        <is>
          <t>2026-01-15</t>
        </is>
      </c>
      <c r="K2" t="inlineStr">
        <is>
          <t>2026-04-15</t>
        </is>
      </c>
      <c r="L2" t="inlineStr">
        <is>
          <t>進度超前</t>
        </is>
      </c>
    </row>
    <row r="3">
      <c r="A3" t="inlineStr">
        <is>
          <t>智摸台北信義店</t>
        </is>
      </c>
      <c r="B3" t="inlineStr">
        <is>
          <t>台北市</t>
        </is>
      </c>
      <c r="C3" t="inlineStr">
        <is>
          <t>信義區</t>
        </is>
      </c>
      <c r="D3" t="inlineStr">
        <is>
          <t>台北市信義區信義路五段7號</t>
        </is>
      </c>
      <c r="E3" t="inlineStr">
        <is>
          <t>智摸</t>
        </is>
      </c>
      <c r="F3" t="inlineStr">
        <is>
          <t>籌備中</t>
        </is>
      </c>
      <c r="G3" t="inlineStr">
        <is>
          <t>裝潢施工</t>
        </is>
      </c>
      <c r="H3" t="inlineStr">
        <is>
          <t>60</t>
        </is>
      </c>
      <c r="I3" t="inlineStr">
        <is>
          <t>阿建</t>
        </is>
      </c>
      <c r="J3" t="inlineStr">
        <is>
          <t>2025-12-20</t>
        </is>
      </c>
      <c r="K3" t="inlineStr">
        <is>
          <t>2026-03-30</t>
        </is>
      </c>
      <c r="L3" t="inlineStr">
        <is>
          <t>進度正常</t>
        </is>
      </c>
    </row>
    <row r="4">
      <c r="A4" t="inlineStr">
        <is>
          <t>ONE高雄左營店</t>
        </is>
      </c>
      <c r="B4" t="inlineStr">
        <is>
          <t>高雄市</t>
        </is>
      </c>
      <c r="C4" t="inlineStr">
        <is>
          <t>左營區</t>
        </is>
      </c>
      <c r="D4" t="inlineStr">
        <is>
          <t>高雄市左營區博愛二路99號</t>
        </is>
      </c>
      <c r="E4" t="inlineStr">
        <is>
          <t>ONE桌遊</t>
        </is>
      </c>
      <c r="F4" t="inlineStr">
        <is>
          <t>營運中</t>
        </is>
      </c>
      <c r="G4" t="inlineStr">
        <is>
          <t>正式營運</t>
        </is>
      </c>
      <c r="H4" t="inlineStr">
        <is>
          <t>100</t>
        </is>
      </c>
      <c r="I4" t="inlineStr">
        <is>
          <t>大點</t>
        </is>
      </c>
      <c r="J4" t="inlineStr">
        <is>
          <t>2025-10-10</t>
        </is>
      </c>
      <c r="K4" t="inlineStr">
        <is>
          <t>2026-01-05</t>
        </is>
      </c>
      <c r="L4" t="inlineStr">
        <is>
          <t>營運順利</t>
        </is>
      </c>
    </row>
    <row r="5">
      <c r="A5" t="inlineStr">
        <is>
          <t>ONE台北大安店</t>
        </is>
      </c>
      <c r="B5" t="inlineStr">
        <is>
          <t>台北市</t>
        </is>
      </c>
      <c r="C5" t="inlineStr">
        <is>
          <t>大安區</t>
        </is>
      </c>
      <c r="D5" t="inlineStr">
        <is>
          <t>台北市大安區復興南路一段222號</t>
        </is>
      </c>
      <c r="E5" t="inlineStr">
        <is>
          <t>ONE桌遊</t>
        </is>
      </c>
      <c r="F5" t="inlineStr">
        <is>
          <t>已簽約</t>
        </is>
      </c>
      <c r="G5" t="inlineStr">
        <is>
          <t>合約簽訂</t>
        </is>
      </c>
      <c r="H5" t="inlineStr">
        <is>
          <t>10</t>
        </is>
      </c>
      <c r="I5" t="inlineStr">
        <is>
          <t>建佑</t>
        </is>
      </c>
      <c r="J5" t="inlineStr">
        <is>
          <t>2026-03-15</t>
        </is>
      </c>
      <c r="K5" t="inlineStr">
        <is>
          <t>2026-06-01</t>
        </is>
      </c>
      <c r="L5" t="inlineStr">
        <is>
          <t>等消防送審</t>
        </is>
      </c>
    </row>
    <row r="6">
      <c r="A6" t="inlineStr">
        <is>
          <t>智摸桃園中壢店</t>
        </is>
      </c>
      <c r="B6" t="inlineStr">
        <is>
          <t>桃園市</t>
        </is>
      </c>
      <c r="C6" t="inlineStr">
        <is>
          <t>中壢區</t>
        </is>
      </c>
      <c r="D6" t="inlineStr">
        <is>
          <t>桃園市中壢區中央西路二路66號</t>
        </is>
      </c>
      <c r="E6" t="inlineStr">
        <is>
          <t>智摸</t>
        </is>
      </c>
      <c r="F6" t="inlineStr">
        <is>
          <t>籌備中</t>
        </is>
      </c>
      <c r="G6" t="inlineStr">
        <is>
          <t>消防送審</t>
        </is>
      </c>
      <c r="H6" t="inlineStr">
        <is>
          <t>40</t>
        </is>
      </c>
      <c r="I6" t="inlineStr">
        <is>
          <t>阿建</t>
        </is>
      </c>
      <c r="J6" t="inlineStr">
        <is>
          <t>2026-02-01</t>
        </is>
      </c>
      <c r="K6" t="inlineStr">
        <is>
          <t>2026-05-15</t>
        </is>
      </c>
      <c r="L6" t="inlineStr">
        <is>
          <t>等審核中</t>
        </is>
      </c>
    </row>
    <row r="7">
      <c r="A7" t="inlineStr">
        <is>
          <t>ONE台南東區店</t>
        </is>
      </c>
      <c r="B7" t="inlineStr">
        <is>
          <t>台南市</t>
        </is>
      </c>
      <c r="C7" t="inlineStr">
        <is>
          <t>東區</t>
        </is>
      </c>
      <c r="D7" t="inlineStr">
        <is>
          <t>台南市東區裕農路555號</t>
        </is>
      </c>
      <c r="E7" t="inlineStr">
        <is>
          <t>ONE桌遊</t>
        </is>
      </c>
      <c r="F7" t="inlineStr">
        <is>
          <t>籌備中</t>
        </is>
      </c>
      <c r="G7" t="inlineStr">
        <is>
          <t>裝潢施工</t>
        </is>
      </c>
      <c r="H7" t="inlineStr">
        <is>
          <t>50</t>
        </is>
      </c>
      <c r="I7" t="inlineStr">
        <is>
          <t>大點</t>
        </is>
      </c>
      <c r="J7" t="inlineStr">
        <is>
          <t>2026-01-20</t>
        </is>
      </c>
      <c r="K7" t="inlineStr">
        <is>
          <t>2026-04-30</t>
        </is>
      </c>
      <c r="L7" t="inlineStr">
        <is>
          <t>進度正常</t>
        </is>
      </c>
    </row>
    <row r="8">
      <c r="A8" t="inlineStr">
        <is>
          <t>ONE高雄三民店</t>
        </is>
      </c>
      <c r="B8" t="inlineStr">
        <is>
          <t>高雄市</t>
        </is>
      </c>
      <c r="C8" t="inlineStr">
        <is>
          <t>三民區</t>
        </is>
      </c>
      <c r="D8" t="inlineStr">
        <is>
          <t>高雄市三民區建國三路88號</t>
        </is>
      </c>
      <c r="E8" t="inlineStr">
        <is>
          <t>ONE桌遊</t>
        </is>
      </c>
      <c r="F8" t="inlineStr">
        <is>
          <t>已簽約</t>
        </is>
      </c>
      <c r="G8" t="inlineStr">
        <is>
          <t>場地確認</t>
        </is>
      </c>
      <c r="H8" t="inlineStr">
        <is>
          <t>5</t>
        </is>
      </c>
      <c r="I8" t="inlineStr">
        <is>
          <t>建佑</t>
        </is>
      </c>
      <c r="J8" t="inlineStr">
        <is>
          <t>2026-03-20</t>
        </is>
      </c>
      <c r="K8" t="inlineStr">
        <is>
          <t>2026-07-01</t>
        </is>
      </c>
      <c r="L8" t="inlineStr">
        <is>
          <t>剛簽約</t>
        </is>
      </c>
    </row>
    <row r="9">
      <c r="A9" t="inlineStr">
        <is>
          <t>智摸台中北屯店</t>
        </is>
      </c>
      <c r="B9" t="inlineStr">
        <is>
          <t>台中市</t>
        </is>
      </c>
      <c r="C9" t="inlineStr">
        <is>
          <t>北屯區</t>
        </is>
      </c>
      <c r="D9" t="inlineStr">
        <is>
          <t>台中市北屯區崇德路二段111號</t>
        </is>
      </c>
      <c r="E9" t="inlineStr">
        <is>
          <t>智摸</t>
        </is>
      </c>
      <c r="F9" t="inlineStr">
        <is>
          <t>已簽約</t>
        </is>
      </c>
      <c r="G9" t="inlineStr">
        <is>
          <t>合約簽訂</t>
        </is>
      </c>
      <c r="H9" t="inlineStr">
        <is>
          <t>15</t>
        </is>
      </c>
      <c r="I9" t="inlineStr">
        <is>
          <t>阿建</t>
        </is>
      </c>
      <c r="J9" t="inlineStr">
        <is>
          <t>2026-03-18</t>
        </is>
      </c>
      <c r="K9" t="inlineStr">
        <is>
          <t>2026-06-15</t>
        </is>
      </c>
      <c r="L9" t="inlineStr">
        <is>
          <t>準備送審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4" customWidth="1" min="3" max="3"/>
    <col width="7" customWidth="1" min="4" max="4"/>
    <col width="5" customWidth="1" min="5" max="5"/>
    <col width="14" customWidth="1" min="6" max="6"/>
    <col width="5" customWidth="1" min="7" max="7"/>
    <col width="7" customWidth="1" min="8" max="8"/>
    <col width="5" customWidth="1" min="9" max="9"/>
    <col width="12" customWidth="1" min="10" max="10"/>
  </cols>
  <sheetData>
    <row r="1">
      <c r="A1" s="1" t="inlineStr">
        <is>
          <t>場地名稱</t>
        </is>
      </c>
      <c r="B1" s="1" t="inlineStr">
        <is>
          <t>地址</t>
        </is>
      </c>
      <c r="C1" s="1" t="inlineStr">
        <is>
          <t>坪數</t>
        </is>
      </c>
      <c r="D1" s="1" t="inlineStr">
        <is>
          <t>租金</t>
        </is>
      </c>
      <c r="E1" s="1" t="inlineStr">
        <is>
          <t>屋主</t>
        </is>
      </c>
      <c r="F1" s="1" t="inlineStr">
        <is>
          <t>聯絡電話</t>
        </is>
      </c>
      <c r="G1" s="1" t="inlineStr">
        <is>
          <t>狀態</t>
        </is>
      </c>
      <c r="H1" s="1" t="inlineStr">
        <is>
          <t>評估結果</t>
        </is>
      </c>
      <c r="I1" s="1" t="inlineStr">
        <is>
          <t>負責人</t>
        </is>
      </c>
      <c r="J1" s="1" t="inlineStr">
        <is>
          <t>開發日期</t>
        </is>
      </c>
    </row>
    <row r="2">
      <c r="A2" t="inlineStr">
        <is>
          <t>台南東區物件A</t>
        </is>
      </c>
      <c r="B2" t="inlineStr">
        <is>
          <t>台南市東區裕農路789號</t>
        </is>
      </c>
      <c r="C2" t="inlineStr">
        <is>
          <t>45</t>
        </is>
      </c>
      <c r="D2" t="inlineStr">
        <is>
          <t>50000</t>
        </is>
      </c>
      <c r="E2" t="inlineStr">
        <is>
          <t>陳先生</t>
        </is>
      </c>
      <c r="F2" t="inlineStr">
        <is>
          <t>0911-222-333</t>
        </is>
      </c>
      <c r="G2" t="inlineStr">
        <is>
          <t>評估中</t>
        </is>
      </c>
      <c r="H2" t="inlineStr">
        <is>
          <t>待現勘</t>
        </is>
      </c>
      <c r="I2" t="inlineStr">
        <is>
          <t>建佑</t>
        </is>
      </c>
      <c r="J2" t="inlineStr">
        <is>
          <t>2026-03-20</t>
        </is>
      </c>
    </row>
    <row r="3">
      <c r="A3" t="inlineStr">
        <is>
          <t>桃園中壢物件B</t>
        </is>
      </c>
      <c r="B3" t="inlineStr">
        <is>
          <t>桃園市中壢區中央西路888號</t>
        </is>
      </c>
      <c r="C3" t="inlineStr">
        <is>
          <t>60</t>
        </is>
      </c>
      <c r="D3" t="inlineStr">
        <is>
          <t>65000</t>
        </is>
      </c>
      <c r="E3" t="inlineStr">
        <is>
          <t>林小姐</t>
        </is>
      </c>
      <c r="F3" t="inlineStr">
        <is>
          <t>0922-333-444</t>
        </is>
      </c>
      <c r="G3" t="inlineStr">
        <is>
          <t>已放棄</t>
        </is>
      </c>
      <c r="H3" t="inlineStr">
        <is>
          <t>租金太高</t>
        </is>
      </c>
      <c r="I3" t="inlineStr">
        <is>
          <t>阿建</t>
        </is>
      </c>
      <c r="J3" t="inlineStr">
        <is>
          <t>2026-03-15</t>
        </is>
      </c>
    </row>
    <row r="4">
      <c r="A4" t="inlineStr">
        <is>
          <t>高雄鳳山物件C</t>
        </is>
      </c>
      <c r="B4" t="inlineStr">
        <is>
          <t>高雄市鳳山區中山路555號</t>
        </is>
      </c>
      <c r="C4" t="inlineStr">
        <is>
          <t>50</t>
        </is>
      </c>
      <c r="D4" t="inlineStr">
        <is>
          <t>48000</t>
        </is>
      </c>
      <c r="E4" t="inlineStr">
        <is>
          <t>王先生</t>
        </is>
      </c>
      <c r="F4" t="inlineStr">
        <is>
          <t>0933-555-666</t>
        </is>
      </c>
      <c r="G4" t="inlineStr">
        <is>
          <t>新開發</t>
        </is>
      </c>
      <c r="H4" t="inlineStr">
        <is>
          <t>初步評估</t>
        </is>
      </c>
      <c r="I4" t="inlineStr">
        <is>
          <t>大點</t>
        </is>
      </c>
      <c r="J4" t="inlineStr">
        <is>
          <t>2026-03-21</t>
        </is>
      </c>
    </row>
    <row r="5">
      <c r="A5" t="inlineStr">
        <is>
          <t>台北內湖物件D</t>
        </is>
      </c>
      <c r="B5" t="inlineStr">
        <is>
          <t>台北市內湖區成功路二段123號</t>
        </is>
      </c>
      <c r="C5" t="inlineStr">
        <is>
          <t>55</t>
        </is>
      </c>
      <c r="D5" t="inlineStr">
        <is>
          <t>70000</t>
        </is>
      </c>
      <c r="E5" t="inlineStr">
        <is>
          <t>張小姐</t>
        </is>
      </c>
      <c r="F5" t="inlineStr">
        <is>
          <t>0944-777-888</t>
        </is>
      </c>
      <c r="G5" t="inlineStr">
        <is>
          <t>評估中</t>
        </is>
      </c>
      <c r="H5" t="inlineStr">
        <is>
          <t>條件不錯</t>
        </is>
      </c>
      <c r="I5" t="inlineStr">
        <is>
          <t>建佑</t>
        </is>
      </c>
      <c r="J5" t="inlineStr">
        <is>
          <t>2026-03-19</t>
        </is>
      </c>
    </row>
    <row r="6">
      <c r="A6" t="inlineStr">
        <is>
          <t>台中南屯物件E</t>
        </is>
      </c>
      <c r="B6" t="inlineStr">
        <is>
          <t>台中市南屯區文心南路666號</t>
        </is>
      </c>
      <c r="C6" t="inlineStr">
        <is>
          <t>48</t>
        </is>
      </c>
      <c r="D6" t="inlineStr">
        <is>
          <t>52000</t>
        </is>
      </c>
      <c r="E6" t="inlineStr">
        <is>
          <t>李先生</t>
        </is>
      </c>
      <c r="F6" t="inlineStr">
        <is>
          <t>0955-999-111</t>
        </is>
      </c>
      <c r="G6" t="inlineStr">
        <is>
          <t>已確認</t>
        </is>
      </c>
      <c r="H6" t="inlineStr">
        <is>
          <t>準備簽約</t>
        </is>
      </c>
      <c r="I6" t="inlineStr">
        <is>
          <t>阿建</t>
        </is>
      </c>
      <c r="J6" t="inlineStr">
        <is>
          <t>2026-03-18</t>
        </is>
      </c>
    </row>
    <row r="7">
      <c r="A7" t="inlineStr">
        <is>
          <t>新竹東區物件F</t>
        </is>
      </c>
      <c r="B7" t="inlineStr">
        <is>
          <t>新竹市東區光復路二段99號</t>
        </is>
      </c>
      <c r="C7" t="inlineStr">
        <is>
          <t>42</t>
        </is>
      </c>
      <c r="D7" t="inlineStr">
        <is>
          <t>45000</t>
        </is>
      </c>
      <c r="E7" t="inlineStr">
        <is>
          <t>黃先生</t>
        </is>
      </c>
      <c r="F7" t="inlineStr">
        <is>
          <t>0966-111-222</t>
        </is>
      </c>
      <c r="G7" t="inlineStr">
        <is>
          <t>新開發</t>
        </is>
      </c>
      <c r="H7" t="inlineStr">
        <is>
          <t>剛找到</t>
        </is>
      </c>
      <c r="I7" t="inlineStr">
        <is>
          <t>大點</t>
        </is>
      </c>
      <c r="J7" t="inlineStr">
        <is>
          <t>2026-03-22</t>
        </is>
      </c>
    </row>
    <row r="8">
      <c r="A8" t="inlineStr">
        <is>
          <t>台南中西物件G</t>
        </is>
      </c>
      <c r="B8" t="inlineStr">
        <is>
          <t>台南市中西區中山路888號</t>
        </is>
      </c>
      <c r="C8" t="inlineStr">
        <is>
          <t>52</t>
        </is>
      </c>
      <c r="D8" t="inlineStr">
        <is>
          <t>55000</t>
        </is>
      </c>
      <c r="E8" t="inlineStr">
        <is>
          <t>吳小姐</t>
        </is>
      </c>
      <c r="F8" t="inlineStr">
        <is>
          <t>0977-333-444</t>
        </is>
      </c>
      <c r="G8" t="inlineStr">
        <is>
          <t>評估中</t>
        </is>
      </c>
      <c r="H8" t="inlineStr">
        <is>
          <t>等屋主回覆</t>
        </is>
      </c>
      <c r="I8" t="inlineStr">
        <is>
          <t>建佑</t>
        </is>
      </c>
      <c r="J8" t="inlineStr">
        <is>
          <t>2026-03-17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1" customWidth="1" min="1" max="1"/>
    <col width="4" customWidth="1" min="2" max="2"/>
    <col width="10" customWidth="1" min="3" max="3"/>
    <col width="5" customWidth="1" min="4" max="4"/>
    <col width="12" customWidth="1" min="5" max="5"/>
    <col width="5" customWidth="1" min="6" max="6"/>
    <col width="5" customWidth="1" min="7" max="7"/>
    <col width="8" customWidth="1" min="8" max="8"/>
  </cols>
  <sheetData>
    <row r="1">
      <c r="A1" s="1" t="inlineStr">
        <is>
          <t>任務名稱</t>
        </is>
      </c>
      <c r="B1" s="1" t="inlineStr">
        <is>
          <t>類型</t>
        </is>
      </c>
      <c r="C1" s="1" t="inlineStr">
        <is>
          <t>關聯店家/客戶</t>
        </is>
      </c>
      <c r="D1" s="1" t="inlineStr">
        <is>
          <t>負責人</t>
        </is>
      </c>
      <c r="E1" s="1" t="inlineStr">
        <is>
          <t>期限</t>
        </is>
      </c>
      <c r="F1" s="1" t="inlineStr">
        <is>
          <t>狀態</t>
        </is>
      </c>
      <c r="G1" s="1" t="inlineStr">
        <is>
          <t>優先級</t>
        </is>
      </c>
      <c r="H1" s="1" t="inlineStr">
        <is>
          <t>備註</t>
        </is>
      </c>
    </row>
    <row r="2">
      <c r="A2" t="inlineStr">
        <is>
          <t>台中西屯店消防檢查</t>
        </is>
      </c>
      <c r="B2" t="inlineStr">
        <is>
          <t>證照</t>
        </is>
      </c>
      <c r="C2" t="inlineStr">
        <is>
          <t>ONE台中西屯店</t>
        </is>
      </c>
      <c r="D2" t="inlineStr">
        <is>
          <t>建佑</t>
        </is>
      </c>
      <c r="E2" t="inlineStr">
        <is>
          <t>2026-03-25</t>
        </is>
      </c>
      <c r="F2" t="inlineStr">
        <is>
          <t>進行中</t>
        </is>
      </c>
      <c r="G2" t="inlineStr">
        <is>
          <t>高</t>
        </is>
      </c>
      <c r="H2" t="inlineStr">
        <is>
          <t>已預約檢查</t>
        </is>
      </c>
    </row>
    <row r="3">
      <c r="A3" t="inlineStr">
        <is>
          <t>王先生場地現勘</t>
        </is>
      </c>
      <c r="B3" t="inlineStr">
        <is>
          <t>銷售</t>
        </is>
      </c>
      <c r="C3" t="inlineStr">
        <is>
          <t>王先生物件</t>
        </is>
      </c>
      <c r="D3" t="inlineStr">
        <is>
          <t>建佑</t>
        </is>
      </c>
      <c r="E3" t="inlineStr">
        <is>
          <t>2026-03-23</t>
        </is>
      </c>
      <c r="F3" t="inlineStr">
        <is>
          <t>待處理</t>
        </is>
      </c>
      <c r="G3" t="inlineStr">
        <is>
          <t>高</t>
        </is>
      </c>
      <c r="H3" t="inlineStr">
        <is>
          <t>本週完成</t>
        </is>
      </c>
    </row>
    <row r="4">
      <c r="A4" t="inlineStr">
        <is>
          <t>台北信義店設備採購</t>
        </is>
      </c>
      <c r="B4" t="inlineStr">
        <is>
          <t>採購</t>
        </is>
      </c>
      <c r="C4" t="inlineStr">
        <is>
          <t>智摸台北信義店</t>
        </is>
      </c>
      <c r="D4" t="inlineStr">
        <is>
          <t>阿建</t>
        </is>
      </c>
      <c r="E4" t="inlineStr">
        <is>
          <t>2026-03-28</t>
        </is>
      </c>
      <c r="F4" t="inlineStr">
        <is>
          <t>待處理</t>
        </is>
      </c>
      <c r="G4" t="inlineStr">
        <is>
          <t>中</t>
        </is>
      </c>
      <c r="H4" t="inlineStr">
        <is>
          <t>等報價單</t>
        </is>
      </c>
    </row>
    <row r="5">
      <c r="A5" t="inlineStr">
        <is>
          <t>高雄左營店開幕活動</t>
        </is>
      </c>
      <c r="B5" t="inlineStr">
        <is>
          <t>行銷</t>
        </is>
      </c>
      <c r="C5" t="inlineStr">
        <is>
          <t>ONE高雄左營店</t>
        </is>
      </c>
      <c r="D5" t="inlineStr">
        <is>
          <t>大點</t>
        </is>
      </c>
      <c r="E5" t="inlineStr">
        <is>
          <t>2026-04-01</t>
        </is>
      </c>
      <c r="F5" t="inlineStr">
        <is>
          <t>已完成</t>
        </is>
      </c>
      <c r="G5" t="inlineStr">
        <is>
          <t>-</t>
        </is>
      </c>
      <c r="H5" t="inlineStr">
        <is>
          <t>已辦完</t>
        </is>
      </c>
    </row>
    <row r="6">
      <c r="A6" t="inlineStr">
        <is>
          <t>台南東區店裝潢驗收</t>
        </is>
      </c>
      <c r="B6" t="inlineStr">
        <is>
          <t>工程</t>
        </is>
      </c>
      <c r="C6" t="inlineStr">
        <is>
          <t>ONE台南東區店</t>
        </is>
      </c>
      <c r="D6" t="inlineStr">
        <is>
          <t>大點</t>
        </is>
      </c>
      <c r="E6" t="inlineStr">
        <is>
          <t>2026-03-27</t>
        </is>
      </c>
      <c r="F6" t="inlineStr">
        <is>
          <t>進行中</t>
        </is>
      </c>
      <c r="G6" t="inlineStr">
        <is>
          <t>中</t>
        </is>
      </c>
      <c r="H6" t="inlineStr">
        <is>
          <t>預計本週完成</t>
        </is>
      </c>
    </row>
    <row r="7">
      <c r="A7" t="inlineStr">
        <is>
          <t>李小姐合約簽訂</t>
        </is>
      </c>
      <c r="B7" t="inlineStr">
        <is>
          <t>銷售</t>
        </is>
      </c>
      <c r="C7" t="inlineStr">
        <is>
          <t>李小姐物件</t>
        </is>
      </c>
      <c r="D7" t="inlineStr">
        <is>
          <t>阿建</t>
        </is>
      </c>
      <c r="E7" t="inlineStr">
        <is>
          <t>2026-03-24</t>
        </is>
      </c>
      <c r="F7" t="inlineStr">
        <is>
          <t>待處理</t>
        </is>
      </c>
      <c r="G7" t="inlineStr">
        <is>
          <t>高</t>
        </is>
      </c>
      <c r="H7" t="inlineStr">
        <is>
          <t>等對方確認</t>
        </is>
      </c>
    </row>
    <row r="8">
      <c r="A8" t="inlineStr">
        <is>
          <t>桃園中壢店消防送審</t>
        </is>
      </c>
      <c r="B8" t="inlineStr">
        <is>
          <t>證照</t>
        </is>
      </c>
      <c r="C8" t="inlineStr">
        <is>
          <t>智摸桃園中壢店</t>
        </is>
      </c>
      <c r="D8" t="inlineStr">
        <is>
          <t>阿建</t>
        </is>
      </c>
      <c r="E8" t="inlineStr">
        <is>
          <t>2026-03-30</t>
        </is>
      </c>
      <c r="F8" t="inlineStr">
        <is>
          <t>待處理</t>
        </is>
      </c>
      <c r="G8" t="inlineStr">
        <is>
          <t>中</t>
        </is>
      </c>
      <c r="H8" t="inlineStr">
        <is>
          <t>準備文件中</t>
        </is>
      </c>
    </row>
    <row r="9">
      <c r="A9" t="inlineStr">
        <is>
          <t>台北大安店設計圖</t>
        </is>
      </c>
      <c r="B9" t="inlineStr">
        <is>
          <t>工程</t>
        </is>
      </c>
      <c r="C9" t="inlineStr">
        <is>
          <t>ONE台北大安店</t>
        </is>
      </c>
      <c r="D9" t="inlineStr">
        <is>
          <t>建佑</t>
        </is>
      </c>
      <c r="E9" t="inlineStr">
        <is>
          <t>2026-03-26</t>
        </is>
      </c>
      <c r="F9" t="inlineStr">
        <is>
          <t>進行中</t>
        </is>
      </c>
      <c r="G9" t="inlineStr">
        <is>
          <t>中</t>
        </is>
      </c>
      <c r="H9" t="inlineStr">
        <is>
          <t>設計中</t>
        </is>
      </c>
    </row>
    <row r="10">
      <c r="A10" t="inlineStr">
        <is>
          <t>陳小姐簽約準備</t>
        </is>
      </c>
      <c r="B10" t="inlineStr">
        <is>
          <t>銷售</t>
        </is>
      </c>
      <c r="C10" t="inlineStr">
        <is>
          <t>陳小姐物件</t>
        </is>
      </c>
      <c r="D10" t="inlineStr">
        <is>
          <t>建佑</t>
        </is>
      </c>
      <c r="E10" t="inlineStr">
        <is>
          <t>2026-03-25</t>
        </is>
      </c>
      <c r="F10" t="inlineStr">
        <is>
          <t>待處理</t>
        </is>
      </c>
      <c r="G10" t="inlineStr">
        <is>
          <t>高</t>
        </is>
      </c>
      <c r="H10" t="inlineStr">
        <is>
          <t>準備合約</t>
        </is>
      </c>
    </row>
    <row r="11">
      <c r="A11" t="inlineStr">
        <is>
          <t>高雄三民店場地勘查</t>
        </is>
      </c>
      <c r="B11" t="inlineStr">
        <is>
          <t>工程</t>
        </is>
      </c>
      <c r="C11" t="inlineStr">
        <is>
          <t>ONE高雄三民店</t>
        </is>
      </c>
      <c r="D11" t="inlineStr">
        <is>
          <t>建佑</t>
        </is>
      </c>
      <c r="E11" t="inlineStr">
        <is>
          <t>2026-03-29</t>
        </is>
      </c>
      <c r="F11" t="inlineStr">
        <is>
          <t>待處理</t>
        </is>
      </c>
      <c r="G11" t="inlineStr">
        <is>
          <t>低</t>
        </is>
      </c>
      <c r="H11" t="inlineStr">
        <is>
          <t>初步勘查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40" customWidth="1" min="5" max="5"/>
    <col width="12" customWidth="1" min="6" max="6"/>
    <col width="25" customWidth="1" min="7" max="7"/>
    <col width="10" customWidth="1" min="8" max="8"/>
  </cols>
  <sheetData>
    <row r="1">
      <c r="A1" s="1" t="inlineStr">
        <is>
          <t>縣市</t>
        </is>
      </c>
      <c r="B1" s="1" t="inlineStr">
        <is>
          <t>行政區</t>
        </is>
      </c>
      <c r="C1" s="1" t="inlineStr">
        <is>
          <t>人口數</t>
        </is>
      </c>
      <c r="D1" s="1" t="inlineStr">
        <is>
          <t>已開店數</t>
        </is>
      </c>
      <c r="E1" s="1" t="inlineStr">
        <is>
          <t>店家名稱</t>
        </is>
      </c>
      <c r="F1" s="1" t="inlineStr">
        <is>
          <t>特殊狀態</t>
        </is>
      </c>
      <c r="G1" s="1" t="inlineStr">
        <is>
          <t>備註</t>
        </is>
      </c>
      <c r="H1" s="1" t="inlineStr">
        <is>
          <t>配額</t>
        </is>
      </c>
    </row>
    <row r="2">
      <c r="A2" t="inlineStr">
        <is>
          <t>宜蘭縣</t>
        </is>
      </c>
      <c r="B2" t="inlineStr">
        <is>
          <t>宜蘭市</t>
        </is>
      </c>
      <c r="C2" t="inlineStr">
        <is>
          <t>94396</t>
        </is>
      </c>
      <c r="D2">
        <f>COUNTIFS(已簽約店家!$B:$B,A2,已簽約店家!$C:$C,B2)</f>
        <v/>
      </c>
      <c r="E2" t="inlineStr"/>
      <c r="F2" t="inlineStr">
        <is>
          <t>正常</t>
        </is>
      </c>
      <c r="G2" t="inlineStr"/>
      <c r="H2" t="inlineStr">
        <is>
          <t>2</t>
        </is>
      </c>
    </row>
    <row r="3">
      <c r="A3" t="inlineStr">
        <is>
          <t>宜蘭縣</t>
        </is>
      </c>
      <c r="B3" t="inlineStr">
        <is>
          <t>羅東鎮</t>
        </is>
      </c>
      <c r="C3" t="inlineStr">
        <is>
          <t>68850</t>
        </is>
      </c>
      <c r="D3">
        <f>COUNTIFS(已簽約店家!$B:$B,A3,已簽約店家!$C:$C,B3)</f>
        <v/>
      </c>
      <c r="E3" t="inlineStr"/>
      <c r="F3" t="inlineStr">
        <is>
          <t>正常</t>
        </is>
      </c>
      <c r="G3" t="inlineStr"/>
      <c r="H3" t="inlineStr">
        <is>
          <t>3</t>
        </is>
      </c>
    </row>
    <row r="4">
      <c r="A4" t="inlineStr">
        <is>
          <t>宜蘭縣</t>
        </is>
      </c>
      <c r="B4" t="inlineStr">
        <is>
          <t>冬山鄉</t>
        </is>
      </c>
      <c r="C4" t="inlineStr">
        <is>
          <t>52904</t>
        </is>
      </c>
      <c r="D4">
        <f>COUNTIFS(已簽約店家!$B:$B,A4,已簽約店家!$C:$C,B4)</f>
        <v/>
      </c>
      <c r="E4" t="inlineStr"/>
      <c r="F4" t="inlineStr">
        <is>
          <t>正常</t>
        </is>
      </c>
      <c r="G4" t="inlineStr"/>
      <c r="H4" t="inlineStr">
        <is>
          <t>1</t>
        </is>
      </c>
    </row>
    <row r="5">
      <c r="A5" t="inlineStr">
        <is>
          <t>宜蘭縣</t>
        </is>
      </c>
      <c r="B5" t="inlineStr">
        <is>
          <t>五結鄉</t>
        </is>
      </c>
      <c r="C5" t="inlineStr">
        <is>
          <t>41757</t>
        </is>
      </c>
      <c r="D5">
        <f>COUNTIFS(已簽約店家!$B:$B,A5,已簽約店家!$C:$C,B5)</f>
        <v/>
      </c>
      <c r="E5" t="inlineStr"/>
      <c r="F5" t="inlineStr">
        <is>
          <t>正常</t>
        </is>
      </c>
      <c r="G5" t="inlineStr"/>
      <c r="H5" t="inlineStr">
        <is>
          <t>1</t>
        </is>
      </c>
    </row>
    <row r="6">
      <c r="A6" t="inlineStr">
        <is>
          <t>基隆市</t>
        </is>
      </c>
      <c r="B6" t="inlineStr">
        <is>
          <t>中正區</t>
        </is>
      </c>
      <c r="C6" t="inlineStr">
        <is>
          <t>51434</t>
        </is>
      </c>
      <c r="D6">
        <f>COUNTIFS(已簽約店家!$B:$B,A6,已簽約店家!$C:$C,B6)</f>
        <v/>
      </c>
      <c r="E6" t="inlineStr"/>
      <c r="F6" t="inlineStr">
        <is>
          <t>正常</t>
        </is>
      </c>
      <c r="G6" t="inlineStr"/>
      <c r="H6" t="inlineStr">
        <is>
          <t>3</t>
        </is>
      </c>
    </row>
    <row r="7">
      <c r="A7" t="inlineStr">
        <is>
          <t>新北市</t>
        </is>
      </c>
      <c r="B7" t="inlineStr">
        <is>
          <t>永和區</t>
        </is>
      </c>
      <c r="C7" t="inlineStr">
        <is>
          <t>211205</t>
        </is>
      </c>
      <c r="D7">
        <f>COUNTIFS(已簽約店家!$B:$B,A7,已簽約店家!$C:$C,B7)</f>
        <v/>
      </c>
      <c r="E7" t="inlineStr"/>
      <c r="F7" t="inlineStr">
        <is>
          <t>正常</t>
        </is>
      </c>
      <c r="G7" t="inlineStr"/>
      <c r="H7" t="inlineStr">
        <is>
          <t>4</t>
        </is>
      </c>
    </row>
    <row r="8">
      <c r="A8" t="inlineStr">
        <is>
          <t>新北市</t>
        </is>
      </c>
      <c r="B8" t="inlineStr">
        <is>
          <t>新店區</t>
        </is>
      </c>
      <c r="C8" t="inlineStr">
        <is>
          <t>306636</t>
        </is>
      </c>
      <c r="D8">
        <f>COUNTIFS(已簽約店家!$B:$B,A8,已簽約店家!$C:$C,B8)</f>
        <v/>
      </c>
      <c r="E8" t="inlineStr"/>
      <c r="F8" t="inlineStr">
        <is>
          <t>正常</t>
        </is>
      </c>
      <c r="G8" t="inlineStr"/>
      <c r="H8" t="inlineStr">
        <is>
          <t>5</t>
        </is>
      </c>
    </row>
    <row r="9">
      <c r="A9" t="inlineStr">
        <is>
          <t>新北市</t>
        </is>
      </c>
      <c r="B9" t="inlineStr">
        <is>
          <t>土城區</t>
        </is>
      </c>
      <c r="C9" t="inlineStr">
        <is>
          <t>242735</t>
        </is>
      </c>
      <c r="D9">
        <f>COUNTIFS(已簽約店家!$B:$B,A9,已簽約店家!$C:$C,B9)</f>
        <v/>
      </c>
      <c r="E9" t="inlineStr"/>
      <c r="F9" t="inlineStr">
        <is>
          <t>正常</t>
        </is>
      </c>
      <c r="G9" t="inlineStr"/>
      <c r="H9" t="inlineStr">
        <is>
          <t>4</t>
        </is>
      </c>
    </row>
    <row r="10">
      <c r="A10" t="inlineStr">
        <is>
          <t>新北市</t>
        </is>
      </c>
      <c r="B10" t="inlineStr">
        <is>
          <t>中和區</t>
        </is>
      </c>
      <c r="C10" t="inlineStr">
        <is>
          <t>403396</t>
        </is>
      </c>
      <c r="D10">
        <f>COUNTIFS(已簽約店家!$B:$B,A10,已簽約店家!$C:$C,B10)</f>
        <v/>
      </c>
      <c r="E10" t="inlineStr"/>
      <c r="F10" t="inlineStr">
        <is>
          <t>正常</t>
        </is>
      </c>
      <c r="G10" t="inlineStr"/>
      <c r="H10" t="inlineStr">
        <is>
          <t>8</t>
        </is>
      </c>
    </row>
    <row r="11">
      <c r="A11" t="inlineStr">
        <is>
          <t>新北市</t>
        </is>
      </c>
      <c r="B11" t="inlineStr">
        <is>
          <t>新莊區</t>
        </is>
      </c>
      <c r="C11" t="inlineStr">
        <is>
          <t>420922</t>
        </is>
      </c>
      <c r="D11">
        <f>COUNTIFS(已簽約店家!$B:$B,A11,已簽約店家!$C:$C,B11)</f>
        <v/>
      </c>
      <c r="E11" t="inlineStr"/>
      <c r="F11" t="inlineStr">
        <is>
          <t>正常</t>
        </is>
      </c>
      <c r="G11" t="inlineStr"/>
      <c r="H11" t="inlineStr">
        <is>
          <t>7</t>
        </is>
      </c>
    </row>
    <row r="12">
      <c r="A12" t="inlineStr">
        <is>
          <t>新北市</t>
        </is>
      </c>
      <c r="B12" t="inlineStr">
        <is>
          <t>樹林區</t>
        </is>
      </c>
      <c r="C12" t="inlineStr">
        <is>
          <t>177130</t>
        </is>
      </c>
      <c r="D12">
        <f>COUNTIFS(已簽約店家!$B:$B,A12,已簽約店家!$C:$C,B12)</f>
        <v/>
      </c>
      <c r="E12" t="inlineStr"/>
      <c r="F12" t="inlineStr">
        <is>
          <t>正常</t>
        </is>
      </c>
      <c r="G12" t="inlineStr"/>
      <c r="H12" t="inlineStr">
        <is>
          <t>5</t>
        </is>
      </c>
    </row>
    <row r="13">
      <c r="A13" t="inlineStr">
        <is>
          <t>新北市</t>
        </is>
      </c>
      <c r="B13" t="inlineStr">
        <is>
          <t>蘆洲區</t>
        </is>
      </c>
      <c r="C13" t="inlineStr">
        <is>
          <t>196186</t>
        </is>
      </c>
      <c r="D13">
        <f>COUNTIFS(已簽約店家!$B:$B,A13,已簽約店家!$C:$C,B13)</f>
        <v/>
      </c>
      <c r="E13" t="inlineStr"/>
      <c r="F13" t="inlineStr">
        <is>
          <t>正常</t>
        </is>
      </c>
      <c r="G13" t="inlineStr"/>
      <c r="H13" t="inlineStr">
        <is>
          <t>5</t>
        </is>
      </c>
    </row>
    <row r="14">
      <c r="A14" t="inlineStr">
        <is>
          <t>新北市</t>
        </is>
      </c>
      <c r="B14" t="inlineStr">
        <is>
          <t>板橋區</t>
        </is>
      </c>
      <c r="C14" t="inlineStr">
        <is>
          <t>549515</t>
        </is>
      </c>
      <c r="D14">
        <f>COUNTIFS(已簽約店家!$B:$B,A14,已簽約店家!$C:$C,B14)</f>
        <v/>
      </c>
      <c r="E14" t="inlineStr"/>
      <c r="F14" t="inlineStr">
        <is>
          <t>正常</t>
        </is>
      </c>
      <c r="G14" t="inlineStr"/>
      <c r="H14" t="inlineStr">
        <is>
          <t>10</t>
        </is>
      </c>
    </row>
    <row r="15">
      <c r="A15" t="inlineStr">
        <is>
          <t>新北市</t>
        </is>
      </c>
      <c r="B15" t="inlineStr">
        <is>
          <t>淡水區</t>
        </is>
      </c>
      <c r="C15" t="inlineStr">
        <is>
          <t>208573</t>
        </is>
      </c>
      <c r="D15">
        <f>COUNTIFS(已簽約店家!$B:$B,A15,已簽約店家!$C:$C,B15)</f>
        <v/>
      </c>
      <c r="E15" t="inlineStr"/>
      <c r="F15" t="inlineStr">
        <is>
          <t>正常</t>
        </is>
      </c>
      <c r="G15" t="inlineStr"/>
      <c r="H15" t="inlineStr">
        <is>
          <t>4</t>
        </is>
      </c>
    </row>
    <row r="16">
      <c r="A16" t="inlineStr">
        <is>
          <t>新北市</t>
        </is>
      </c>
      <c r="B16" t="inlineStr">
        <is>
          <t>三峽區</t>
        </is>
      </c>
      <c r="C16" t="inlineStr">
        <is>
          <t>115421</t>
        </is>
      </c>
      <c r="D16">
        <f>COUNTIFS(已簽約店家!$B:$B,A16,已簽約店家!$C:$C,B16)</f>
        <v/>
      </c>
      <c r="E16" t="inlineStr"/>
      <c r="F16" t="inlineStr">
        <is>
          <t>正常</t>
        </is>
      </c>
      <c r="G16" t="inlineStr"/>
      <c r="H16" t="inlineStr">
        <is>
          <t>3</t>
        </is>
      </c>
    </row>
    <row r="17">
      <c r="A17" t="inlineStr">
        <is>
          <t>新北市</t>
        </is>
      </c>
      <c r="B17" t="inlineStr">
        <is>
          <t>三重區</t>
        </is>
      </c>
      <c r="C17" t="inlineStr">
        <is>
          <t>382749</t>
        </is>
      </c>
      <c r="D17">
        <f>COUNTIFS(已簽約店家!$B:$B,A17,已簽約店家!$C:$C,B17)</f>
        <v/>
      </c>
      <c r="E17" t="inlineStr"/>
      <c r="F17" t="inlineStr">
        <is>
          <t>不開放</t>
        </is>
      </c>
      <c r="G17" t="inlineStr">
        <is>
          <t>不開放（已授權同一業者）</t>
        </is>
      </c>
      <c r="H17" t="inlineStr">
        <is>
          <t>5</t>
        </is>
      </c>
    </row>
    <row r="18">
      <c r="A18" t="inlineStr">
        <is>
          <t>新北市</t>
        </is>
      </c>
      <c r="B18" t="inlineStr">
        <is>
          <t>汐止區</t>
        </is>
      </c>
      <c r="C18" t="inlineStr">
        <is>
          <t>212807</t>
        </is>
      </c>
      <c r="D18">
        <f>COUNTIFS(已簽約店家!$B:$B,A18,已簽約店家!$C:$C,B18)</f>
        <v/>
      </c>
      <c r="E18" t="inlineStr"/>
      <c r="F18" t="inlineStr">
        <is>
          <t>正常</t>
        </is>
      </c>
      <c r="G18" t="inlineStr"/>
      <c r="H18" t="inlineStr">
        <is>
          <t>3</t>
        </is>
      </c>
    </row>
    <row r="19">
      <c r="A19" t="inlineStr">
        <is>
          <t>新北市</t>
        </is>
      </c>
      <c r="B19" t="inlineStr">
        <is>
          <t>林口區</t>
        </is>
      </c>
      <c r="C19" t="inlineStr">
        <is>
          <t>138630</t>
        </is>
      </c>
      <c r="D19">
        <f>COUNTIFS(已簽約店家!$B:$B,A19,已簽約店家!$C:$C,B19)</f>
        <v/>
      </c>
      <c r="E19" t="inlineStr"/>
      <c r="F19" t="inlineStr">
        <is>
          <t>正常</t>
        </is>
      </c>
      <c r="G19" t="inlineStr"/>
      <c r="H19" t="inlineStr">
        <is>
          <t>2</t>
        </is>
      </c>
    </row>
    <row r="20">
      <c r="A20" t="inlineStr">
        <is>
          <t>台北市</t>
        </is>
      </c>
      <c r="B20" t="inlineStr">
        <is>
          <t>大安區</t>
        </is>
      </c>
      <c r="C20" t="inlineStr">
        <is>
          <t>281679</t>
        </is>
      </c>
      <c r="D20">
        <f>COUNTIFS(已簽約店家!$B:$B,A20,已簽約店家!$C:$C,B20)</f>
        <v/>
      </c>
      <c r="E20" t="inlineStr"/>
      <c r="F20" t="inlineStr">
        <is>
          <t>正常</t>
        </is>
      </c>
      <c r="G20" t="inlineStr"/>
      <c r="H20" t="inlineStr">
        <is>
          <t>3</t>
        </is>
      </c>
    </row>
    <row r="21">
      <c r="A21" t="inlineStr">
        <is>
          <t>台北市</t>
        </is>
      </c>
      <c r="B21" t="inlineStr">
        <is>
          <t>內湖區</t>
        </is>
      </c>
      <c r="C21" t="inlineStr">
        <is>
          <t>267345</t>
        </is>
      </c>
      <c r="D21">
        <f>COUNTIFS(已簽約店家!$B:$B,A21,已簽約店家!$C:$C,B21)</f>
        <v/>
      </c>
      <c r="E21" t="inlineStr"/>
      <c r="F21" t="inlineStr">
        <is>
          <t>正常</t>
        </is>
      </c>
      <c r="G21" t="inlineStr"/>
      <c r="H21" t="inlineStr">
        <is>
          <t>3</t>
        </is>
      </c>
    </row>
    <row r="22">
      <c r="A22" t="inlineStr">
        <is>
          <t>台北市</t>
        </is>
      </c>
      <c r="B22" t="inlineStr">
        <is>
          <t>士林區</t>
        </is>
      </c>
      <c r="C22" t="inlineStr">
        <is>
          <t>257504</t>
        </is>
      </c>
      <c r="D22">
        <f>COUNTIFS(已簽約店家!$B:$B,A22,已簽約店家!$C:$C,B22)</f>
        <v/>
      </c>
      <c r="E22" t="inlineStr"/>
      <c r="F22" t="inlineStr">
        <is>
          <t>正常</t>
        </is>
      </c>
      <c r="G22" t="inlineStr"/>
      <c r="H22" t="inlineStr">
        <is>
          <t>4</t>
        </is>
      </c>
    </row>
    <row r="23">
      <c r="A23" t="inlineStr">
        <is>
          <t>台北市</t>
        </is>
      </c>
      <c r="B23" t="inlineStr">
        <is>
          <t>文山區</t>
        </is>
      </c>
      <c r="C23" t="inlineStr">
        <is>
          <t>253272</t>
        </is>
      </c>
      <c r="D23">
        <f>COUNTIFS(已簽約店家!$B:$B,A23,已簽約店家!$C:$C,B23)</f>
        <v/>
      </c>
      <c r="E23" t="inlineStr"/>
      <c r="F23" t="inlineStr">
        <is>
          <t>正常</t>
        </is>
      </c>
      <c r="G23" t="inlineStr"/>
      <c r="H23" t="inlineStr">
        <is>
          <t>4</t>
        </is>
      </c>
    </row>
    <row r="24">
      <c r="A24" t="inlineStr">
        <is>
          <t>台北市</t>
        </is>
      </c>
      <c r="B24" t="inlineStr">
        <is>
          <t>北投區</t>
        </is>
      </c>
      <c r="C24" t="inlineStr">
        <is>
          <t>235258</t>
        </is>
      </c>
      <c r="D24">
        <f>COUNTIFS(已簽約店家!$B:$B,A24,已簽約店家!$C:$C,B24)</f>
        <v/>
      </c>
      <c r="E24" t="inlineStr"/>
      <c r="F24" t="inlineStr">
        <is>
          <t>正常</t>
        </is>
      </c>
      <c r="G24" t="inlineStr"/>
      <c r="H24" t="inlineStr">
        <is>
          <t>3</t>
        </is>
      </c>
    </row>
    <row r="25">
      <c r="A25" t="inlineStr">
        <is>
          <t>台北市</t>
        </is>
      </c>
      <c r="B25" t="inlineStr">
        <is>
          <t>中山區</t>
        </is>
      </c>
      <c r="C25" t="inlineStr">
        <is>
          <t>211649</t>
        </is>
      </c>
      <c r="D25">
        <f>COUNTIFS(已簽約店家!$B:$B,A25,已簽約店家!$C:$C,B25)</f>
        <v/>
      </c>
      <c r="E25" t="inlineStr"/>
      <c r="F25" t="inlineStr">
        <is>
          <t>正常</t>
        </is>
      </c>
      <c r="G25" t="inlineStr"/>
      <c r="H25" t="inlineStr">
        <is>
          <t>4</t>
        </is>
      </c>
    </row>
    <row r="26">
      <c r="A26" t="inlineStr">
        <is>
          <t>台北市</t>
        </is>
      </c>
      <c r="B26" t="inlineStr">
        <is>
          <t>信義區</t>
        </is>
      </c>
      <c r="C26" t="inlineStr">
        <is>
          <t>201012</t>
        </is>
      </c>
      <c r="D26">
        <f>COUNTIFS(已簽約店家!$B:$B,A26,已簽約店家!$C:$C,B26)</f>
        <v/>
      </c>
      <c r="E26" t="inlineStr"/>
      <c r="F26" t="inlineStr">
        <is>
          <t>正常</t>
        </is>
      </c>
      <c r="G26" t="inlineStr"/>
      <c r="H26" t="inlineStr">
        <is>
          <t>3</t>
        </is>
      </c>
    </row>
    <row r="27">
      <c r="A27" t="inlineStr">
        <is>
          <t>台北市</t>
        </is>
      </c>
      <c r="B27" t="inlineStr">
        <is>
          <t>松山區</t>
        </is>
      </c>
      <c r="C27" t="inlineStr">
        <is>
          <t>187065</t>
        </is>
      </c>
      <c r="D27">
        <f>COUNTIFS(已簽約店家!$B:$B,A27,已簽約店家!$C:$C,B27)</f>
        <v/>
      </c>
      <c r="E27" t="inlineStr"/>
      <c r="F27" t="inlineStr">
        <is>
          <t>正常</t>
        </is>
      </c>
      <c r="G27" t="inlineStr"/>
      <c r="H27" t="inlineStr">
        <is>
          <t>2</t>
        </is>
      </c>
    </row>
    <row r="28">
      <c r="A28" t="inlineStr">
        <is>
          <t>台北市</t>
        </is>
      </c>
      <c r="B28" t="inlineStr">
        <is>
          <t>萬華區</t>
        </is>
      </c>
      <c r="C28" t="inlineStr">
        <is>
          <t>168261</t>
        </is>
      </c>
      <c r="D28">
        <f>COUNTIFS(已簽約店家!$B:$B,A28,已簽約店家!$C:$C,B28)</f>
        <v/>
      </c>
      <c r="E28" t="inlineStr"/>
      <c r="F28" t="inlineStr">
        <is>
          <t>正常</t>
        </is>
      </c>
      <c r="G28" t="inlineStr"/>
      <c r="H28" t="inlineStr">
        <is>
          <t>2</t>
        </is>
      </c>
    </row>
    <row r="29">
      <c r="A29" t="inlineStr">
        <is>
          <t>台北市</t>
        </is>
      </c>
      <c r="B29" t="inlineStr">
        <is>
          <t>中正區</t>
        </is>
      </c>
      <c r="C29" t="inlineStr">
        <is>
          <t>143821</t>
        </is>
      </c>
      <c r="D29">
        <f>COUNTIFS(已簽約店家!$B:$B,A29,已簽約店家!$C:$C,B29)</f>
        <v/>
      </c>
      <c r="E29" t="inlineStr"/>
      <c r="F29" t="inlineStr">
        <is>
          <t>正常</t>
        </is>
      </c>
      <c r="G29" t="inlineStr"/>
      <c r="H29" t="inlineStr">
        <is>
          <t>3</t>
        </is>
      </c>
    </row>
    <row r="30">
      <c r="A30" t="inlineStr">
        <is>
          <t>台北市</t>
        </is>
      </c>
      <c r="B30" t="inlineStr">
        <is>
          <t>南港區</t>
        </is>
      </c>
      <c r="C30" t="inlineStr">
        <is>
          <t>120000</t>
        </is>
      </c>
      <c r="D30">
        <f>COUNTIFS(已簽約店家!$B:$B,A30,已簽約店家!$C:$C,B30)</f>
        <v/>
      </c>
      <c r="E30" t="inlineStr"/>
      <c r="F30" t="inlineStr">
        <is>
          <t>正常</t>
        </is>
      </c>
      <c r="G30" t="inlineStr"/>
      <c r="H30" t="inlineStr">
        <is>
          <t>2</t>
        </is>
      </c>
    </row>
    <row r="31">
      <c r="A31" t="inlineStr">
        <is>
          <t>台北市</t>
        </is>
      </c>
      <c r="B31" t="inlineStr">
        <is>
          <t>大同區</t>
        </is>
      </c>
      <c r="C31" t="inlineStr">
        <is>
          <t>115000</t>
        </is>
      </c>
      <c r="D31">
        <f>COUNTIFS(已簽約店家!$B:$B,A31,已簽約店家!$C:$C,B31)</f>
        <v/>
      </c>
      <c r="E31" t="inlineStr"/>
      <c r="F31" t="inlineStr">
        <is>
          <t>正常</t>
        </is>
      </c>
      <c r="G31" t="inlineStr"/>
      <c r="H31" t="inlineStr">
        <is>
          <t>2</t>
        </is>
      </c>
    </row>
    <row r="32">
      <c r="A32" t="inlineStr">
        <is>
          <t>桃園市</t>
        </is>
      </c>
      <c r="B32" t="inlineStr">
        <is>
          <t>桃園區</t>
        </is>
      </c>
      <c r="C32" t="inlineStr">
        <is>
          <t>478629</t>
        </is>
      </c>
      <c r="D32">
        <f>COUNTIFS(已簽約店家!$B:$B,A32,已簽約店家!$C:$C,B32)</f>
        <v/>
      </c>
      <c r="E32" t="inlineStr"/>
      <c r="F32" t="inlineStr">
        <is>
          <t>正常</t>
        </is>
      </c>
      <c r="G32" t="inlineStr"/>
      <c r="H32" t="inlineStr">
        <is>
          <t>9</t>
        </is>
      </c>
    </row>
    <row r="33">
      <c r="A33" t="inlineStr">
        <is>
          <t>桃園市</t>
        </is>
      </c>
      <c r="B33" t="inlineStr">
        <is>
          <t>中壢區</t>
        </is>
      </c>
      <c r="C33" t="inlineStr">
        <is>
          <t>439290</t>
        </is>
      </c>
      <c r="D33">
        <f>COUNTIFS(已簽約店家!$B:$B,A33,已簽約店家!$C:$C,B33)</f>
        <v/>
      </c>
      <c r="E33" t="inlineStr"/>
      <c r="F33" t="inlineStr">
        <is>
          <t>正常</t>
        </is>
      </c>
      <c r="G33" t="inlineStr"/>
      <c r="H33" t="inlineStr">
        <is>
          <t>9</t>
        </is>
      </c>
    </row>
    <row r="34">
      <c r="A34" t="inlineStr">
        <is>
          <t>桃園市</t>
        </is>
      </c>
      <c r="B34" t="inlineStr">
        <is>
          <t>平鎮區</t>
        </is>
      </c>
      <c r="C34" t="inlineStr">
        <is>
          <t>227870</t>
        </is>
      </c>
      <c r="D34">
        <f>COUNTIFS(已簽約店家!$B:$B,A34,已簽約店家!$C:$C,B34)</f>
        <v/>
      </c>
      <c r="E34" t="inlineStr"/>
      <c r="F34" t="inlineStr">
        <is>
          <t>正常</t>
        </is>
      </c>
      <c r="G34" t="inlineStr"/>
      <c r="H34" t="inlineStr">
        <is>
          <t>4</t>
        </is>
      </c>
    </row>
    <row r="35">
      <c r="A35" t="inlineStr">
        <is>
          <t>桃園市</t>
        </is>
      </c>
      <c r="B35" t="inlineStr">
        <is>
          <t>八德區</t>
        </is>
      </c>
      <c r="C35" t="inlineStr">
        <is>
          <t>216054</t>
        </is>
      </c>
      <c r="D35">
        <f>COUNTIFS(已簽約店家!$B:$B,A35,已簽約店家!$C:$C,B35)</f>
        <v/>
      </c>
      <c r="E35" t="inlineStr"/>
      <c r="F35" t="inlineStr">
        <is>
          <t>正常</t>
        </is>
      </c>
      <c r="G35" t="inlineStr"/>
      <c r="H35" t="inlineStr">
        <is>
          <t>4</t>
        </is>
      </c>
    </row>
    <row r="36">
      <c r="A36" t="inlineStr">
        <is>
          <t>桃園市</t>
        </is>
      </c>
      <c r="B36" t="inlineStr">
        <is>
          <t>龜山區</t>
        </is>
      </c>
      <c r="C36" t="inlineStr">
        <is>
          <t>188562</t>
        </is>
      </c>
      <c r="D36">
        <f>COUNTIFS(已簽約店家!$B:$B,A36,已簽約店家!$C:$C,B36)</f>
        <v/>
      </c>
      <c r="E36" t="inlineStr"/>
      <c r="F36" t="inlineStr">
        <is>
          <t>正常</t>
        </is>
      </c>
      <c r="G36" t="inlineStr"/>
      <c r="H36" t="inlineStr">
        <is>
          <t>4</t>
        </is>
      </c>
    </row>
    <row r="37">
      <c r="A37" t="inlineStr">
        <is>
          <t>桃園市</t>
        </is>
      </c>
      <c r="B37" t="inlineStr">
        <is>
          <t>楊梅區</t>
        </is>
      </c>
      <c r="C37" t="inlineStr">
        <is>
          <t>182936</t>
        </is>
      </c>
      <c r="D37">
        <f>COUNTIFS(已簽約店家!$B:$B,A37,已簽約店家!$C:$C,B37)</f>
        <v/>
      </c>
      <c r="E37" t="inlineStr"/>
      <c r="F37" t="inlineStr">
        <is>
          <t>正常</t>
        </is>
      </c>
      <c r="G37" t="inlineStr"/>
      <c r="H37" t="inlineStr">
        <is>
          <t>3</t>
        </is>
      </c>
    </row>
    <row r="38">
      <c r="A38" t="inlineStr">
        <is>
          <t>桃園市</t>
        </is>
      </c>
      <c r="B38" t="inlineStr">
        <is>
          <t>蘆竹區</t>
        </is>
      </c>
      <c r="C38" t="inlineStr">
        <is>
          <t>170423</t>
        </is>
      </c>
      <c r="D38">
        <f>COUNTIFS(已簽約店家!$B:$B,A38,已簽約店家!$C:$C,B38)</f>
        <v/>
      </c>
      <c r="E38" t="inlineStr"/>
      <c r="F38" t="inlineStr">
        <is>
          <t>正常</t>
        </is>
      </c>
      <c r="G38" t="inlineStr"/>
      <c r="H38" t="inlineStr">
        <is>
          <t>3</t>
        </is>
      </c>
    </row>
    <row r="39">
      <c r="A39" t="inlineStr">
        <is>
          <t>桃園市</t>
        </is>
      </c>
      <c r="B39" t="inlineStr">
        <is>
          <t>大園區</t>
        </is>
      </c>
      <c r="C39" t="inlineStr">
        <is>
          <t>88432</t>
        </is>
      </c>
      <c r="D39">
        <f>COUNTIFS(已簽約店家!$B:$B,A39,已簽約店家!$C:$C,B39)</f>
        <v/>
      </c>
      <c r="E39" t="inlineStr"/>
      <c r="F39" t="inlineStr">
        <is>
          <t>正常</t>
        </is>
      </c>
      <c r="G39" t="inlineStr"/>
      <c r="H39" t="inlineStr">
        <is>
          <t>2</t>
        </is>
      </c>
    </row>
    <row r="40">
      <c r="A40" t="inlineStr">
        <is>
          <t>桃園市</t>
        </is>
      </c>
      <c r="B40" t="inlineStr">
        <is>
          <t>觀音區</t>
        </is>
      </c>
      <c r="C40" t="inlineStr">
        <is>
          <t>76276</t>
        </is>
      </c>
      <c r="D40">
        <f>COUNTIFS(已簽約店家!$B:$B,A40,已簽約店家!$C:$C,B40)</f>
        <v/>
      </c>
      <c r="E40" t="inlineStr"/>
      <c r="F40" t="inlineStr">
        <is>
          <t>正常</t>
        </is>
      </c>
      <c r="G40" t="inlineStr"/>
      <c r="H40" t="inlineStr">
        <is>
          <t>2</t>
        </is>
      </c>
    </row>
    <row r="41">
      <c r="A41" t="inlineStr">
        <is>
          <t>新竹市</t>
        </is>
      </c>
      <c r="B41" t="inlineStr">
        <is>
          <t>北區</t>
        </is>
      </c>
      <c r="C41" t="inlineStr">
        <is>
          <t>154124</t>
        </is>
      </c>
      <c r="D41">
        <f>COUNTIFS(已簽約店家!$B:$B,A41,已簽約店家!$C:$C,B41)</f>
        <v/>
      </c>
      <c r="E41" t="inlineStr"/>
      <c r="F41" t="inlineStr">
        <is>
          <t>正常</t>
        </is>
      </c>
      <c r="G41" t="inlineStr"/>
      <c r="H41" t="inlineStr">
        <is>
          <t>4</t>
        </is>
      </c>
    </row>
    <row r="42">
      <c r="A42" t="inlineStr">
        <is>
          <t>新竹市</t>
        </is>
      </c>
      <c r="B42" t="inlineStr">
        <is>
          <t>東區</t>
        </is>
      </c>
      <c r="C42" t="inlineStr">
        <is>
          <t>222153</t>
        </is>
      </c>
      <c r="D42">
        <f>COUNTIFS(已簽約店家!$B:$B,A42,已簽約店家!$C:$C,B42)</f>
        <v/>
      </c>
      <c r="E42" t="inlineStr"/>
      <c r="F42" t="inlineStr">
        <is>
          <t>正常</t>
        </is>
      </c>
      <c r="G42" t="inlineStr"/>
      <c r="H42" t="inlineStr">
        <is>
          <t>7</t>
        </is>
      </c>
    </row>
    <row r="43">
      <c r="A43" t="inlineStr">
        <is>
          <t>新竹縣</t>
        </is>
      </c>
      <c r="B43" t="inlineStr">
        <is>
          <t>湖口鄉</t>
        </is>
      </c>
      <c r="C43" t="inlineStr">
        <is>
          <t>85086</t>
        </is>
      </c>
      <c r="D43">
        <f>COUNTIFS(已簽約店家!$B:$B,A43,已簽約店家!$C:$C,B43)</f>
        <v/>
      </c>
      <c r="E43" t="inlineStr"/>
      <c r="F43" t="inlineStr">
        <is>
          <t>正常</t>
        </is>
      </c>
      <c r="G43" t="inlineStr"/>
      <c r="H43" t="inlineStr">
        <is>
          <t>3</t>
        </is>
      </c>
    </row>
    <row r="44">
      <c r="A44" t="inlineStr">
        <is>
          <t>新竹縣</t>
        </is>
      </c>
      <c r="B44" t="inlineStr">
        <is>
          <t>新豐鄉</t>
        </is>
      </c>
      <c r="C44" t="inlineStr">
        <is>
          <t>59877</t>
        </is>
      </c>
      <c r="D44">
        <f>COUNTIFS(已簽約店家!$B:$B,A44,已簽約店家!$C:$C,B44)</f>
        <v/>
      </c>
      <c r="E44" t="inlineStr"/>
      <c r="F44" t="inlineStr">
        <is>
          <t>正常</t>
        </is>
      </c>
      <c r="G44" t="inlineStr"/>
      <c r="H44" t="inlineStr">
        <is>
          <t>3</t>
        </is>
      </c>
    </row>
    <row r="45">
      <c r="A45" t="inlineStr">
        <is>
          <t>新竹縣</t>
        </is>
      </c>
      <c r="B45" t="inlineStr">
        <is>
          <t>竹北市</t>
        </is>
      </c>
      <c r="C45" t="inlineStr">
        <is>
          <t>221005</t>
        </is>
      </c>
      <c r="D45">
        <f>COUNTIFS(已簽約店家!$B:$B,A45,已簽約店家!$C:$C,B45)</f>
        <v/>
      </c>
      <c r="E45" t="inlineStr"/>
      <c r="F45" t="inlineStr">
        <is>
          <t>不開放</t>
        </is>
      </c>
      <c r="G45" t="inlineStr">
        <is>
          <t>舊約額滿</t>
        </is>
      </c>
      <c r="H45" t="inlineStr">
        <is>
          <t>6</t>
        </is>
      </c>
    </row>
    <row r="46">
      <c r="A46" t="inlineStr">
        <is>
          <t>新竹縣</t>
        </is>
      </c>
      <c r="B46" t="inlineStr">
        <is>
          <t>竹東鎮</t>
        </is>
      </c>
      <c r="C46" t="inlineStr">
        <is>
          <t>97844</t>
        </is>
      </c>
      <c r="D46">
        <f>COUNTIFS(已簽約店家!$B:$B,A46,已簽約店家!$C:$C,B46)</f>
        <v/>
      </c>
      <c r="E46" t="inlineStr"/>
      <c r="F46" t="inlineStr">
        <is>
          <t>正常</t>
        </is>
      </c>
      <c r="G46" t="inlineStr"/>
      <c r="H46" t="inlineStr">
        <is>
          <t>2</t>
        </is>
      </c>
    </row>
    <row r="47">
      <c r="A47" t="inlineStr">
        <is>
          <t>苗栗縣</t>
        </is>
      </c>
      <c r="B47" t="inlineStr">
        <is>
          <t>頭份市</t>
        </is>
      </c>
      <c r="C47" t="inlineStr">
        <is>
          <t>108294</t>
        </is>
      </c>
      <c r="D47">
        <f>COUNTIFS(已簽約店家!$B:$B,A47,已簽約店家!$C:$C,B47)</f>
        <v/>
      </c>
      <c r="E47" t="inlineStr"/>
      <c r="F47" t="inlineStr">
        <is>
          <t>不開放</t>
        </is>
      </c>
      <c r="G47" t="inlineStr">
        <is>
          <t>舊約額滿</t>
        </is>
      </c>
      <c r="H47" t="inlineStr">
        <is>
          <t>4</t>
        </is>
      </c>
    </row>
    <row r="48">
      <c r="A48" t="inlineStr">
        <is>
          <t>苗栗縣</t>
        </is>
      </c>
      <c r="B48" t="inlineStr">
        <is>
          <t>竹南鎮</t>
        </is>
      </c>
      <c r="C48" t="inlineStr">
        <is>
          <t>91494</t>
        </is>
      </c>
      <c r="D48">
        <f>COUNTIFS(已簽約店家!$B:$B,A48,已簽約店家!$C:$C,B48)</f>
        <v/>
      </c>
      <c r="E48" t="inlineStr"/>
      <c r="F48" t="inlineStr">
        <is>
          <t>不開放</t>
        </is>
      </c>
      <c r="G48" t="inlineStr">
        <is>
          <t>保留不開放</t>
        </is>
      </c>
      <c r="H48" t="inlineStr">
        <is>
          <t>1</t>
        </is>
      </c>
    </row>
    <row r="49">
      <c r="A49" t="inlineStr">
        <is>
          <t>苗栗縣</t>
        </is>
      </c>
      <c r="B49" t="inlineStr">
        <is>
          <t>苗栗市</t>
        </is>
      </c>
      <c r="C49" t="inlineStr">
        <is>
          <t>85671</t>
        </is>
      </c>
      <c r="D49">
        <f>COUNTIFS(已簽約店家!$B:$B,A49,已簽約店家!$C:$C,B49)</f>
        <v/>
      </c>
      <c r="E49" t="inlineStr"/>
      <c r="F49" t="inlineStr">
        <is>
          <t>正常</t>
        </is>
      </c>
      <c r="G49" t="inlineStr"/>
      <c r="H49" t="inlineStr">
        <is>
          <t>1</t>
        </is>
      </c>
    </row>
    <row r="50">
      <c r="A50" t="inlineStr">
        <is>
          <t>苗栗縣</t>
        </is>
      </c>
      <c r="B50" t="inlineStr">
        <is>
          <t>苑里鎮</t>
        </is>
      </c>
      <c r="C50" t="inlineStr">
        <is>
          <t>43139</t>
        </is>
      </c>
      <c r="D50">
        <f>COUNTIFS(已簽約店家!$B:$B,A50,已簽約店家!$C:$C,B50)</f>
        <v/>
      </c>
      <c r="E50" t="inlineStr"/>
      <c r="F50" t="inlineStr">
        <is>
          <t>正常</t>
        </is>
      </c>
      <c r="G50" t="inlineStr"/>
      <c r="H50" t="inlineStr">
        <is>
          <t>1</t>
        </is>
      </c>
    </row>
    <row r="51">
      <c r="A51" t="inlineStr">
        <is>
          <t>台中市</t>
        </is>
      </c>
      <c r="B51" t="inlineStr">
        <is>
          <t>北屯區</t>
        </is>
      </c>
      <c r="C51" t="inlineStr">
        <is>
          <t>317532</t>
        </is>
      </c>
      <c r="D51">
        <f>COUNTIFS(已簽約店家!$B:$B,A51,已簽約店家!$C:$C,B51)</f>
        <v/>
      </c>
      <c r="E51" t="inlineStr"/>
      <c r="F51" t="inlineStr">
        <is>
          <t>正常</t>
        </is>
      </c>
      <c r="G51" t="inlineStr"/>
      <c r="H51" t="inlineStr">
        <is>
          <t>4</t>
        </is>
      </c>
    </row>
    <row r="52">
      <c r="A52" t="inlineStr">
        <is>
          <t>台中市</t>
        </is>
      </c>
      <c r="B52" t="inlineStr">
        <is>
          <t>西屯區</t>
        </is>
      </c>
      <c r="C52" t="inlineStr">
        <is>
          <t>237978</t>
        </is>
      </c>
      <c r="D52">
        <f>COUNTIFS(已簽約店家!$B:$B,A52,已簽約店家!$C:$C,B52)</f>
        <v/>
      </c>
      <c r="E52" t="inlineStr"/>
      <c r="F52" t="inlineStr">
        <is>
          <t>正常</t>
        </is>
      </c>
      <c r="G52" t="inlineStr"/>
      <c r="H52" t="inlineStr">
        <is>
          <t>4</t>
        </is>
      </c>
    </row>
    <row r="53">
      <c r="A53" t="inlineStr">
        <is>
          <t>台中市</t>
        </is>
      </c>
      <c r="B53" t="inlineStr">
        <is>
          <t>大里區</t>
        </is>
      </c>
      <c r="C53" t="inlineStr">
        <is>
          <t>210922</t>
        </is>
      </c>
      <c r="D53">
        <f>COUNTIFS(已簽約店家!$B:$B,A53,已簽約店家!$C:$C,B53)</f>
        <v/>
      </c>
      <c r="E53" t="inlineStr"/>
      <c r="F53" t="inlineStr">
        <is>
          <t>正常</t>
        </is>
      </c>
      <c r="G53" t="inlineStr"/>
      <c r="H53" t="inlineStr">
        <is>
          <t>3</t>
        </is>
      </c>
    </row>
    <row r="54">
      <c r="A54" t="inlineStr">
        <is>
          <t>台中市</t>
        </is>
      </c>
      <c r="B54" t="inlineStr">
        <is>
          <t>太平區</t>
        </is>
      </c>
      <c r="C54" t="inlineStr">
        <is>
          <t>201696</t>
        </is>
      </c>
      <c r="D54">
        <f>COUNTIFS(已簽約店家!$B:$B,A54,已簽約店家!$C:$C,B54)</f>
        <v/>
      </c>
      <c r="E54" t="inlineStr"/>
      <c r="F54" t="inlineStr">
        <is>
          <t>正常</t>
        </is>
      </c>
      <c r="G54" t="inlineStr"/>
      <c r="H54" t="inlineStr">
        <is>
          <t>3</t>
        </is>
      </c>
    </row>
    <row r="55">
      <c r="A55" t="inlineStr">
        <is>
          <t>台中市</t>
        </is>
      </c>
      <c r="B55" t="inlineStr">
        <is>
          <t>南屯區</t>
        </is>
      </c>
      <c r="C55" t="inlineStr">
        <is>
          <t>186106</t>
        </is>
      </c>
      <c r="D55">
        <f>COUNTIFS(已簽約店家!$B:$B,A55,已簽約店家!$C:$C,B55)</f>
        <v/>
      </c>
      <c r="E55" t="inlineStr"/>
      <c r="F55" t="inlineStr">
        <is>
          <t>正常</t>
        </is>
      </c>
      <c r="G55" t="inlineStr"/>
      <c r="H55" t="inlineStr">
        <is>
          <t>2</t>
        </is>
      </c>
    </row>
    <row r="56">
      <c r="A56" t="inlineStr">
        <is>
          <t>台中市</t>
        </is>
      </c>
      <c r="B56" t="inlineStr">
        <is>
          <t>豐原區</t>
        </is>
      </c>
      <c r="C56" t="inlineStr">
        <is>
          <t>161597</t>
        </is>
      </c>
      <c r="D56">
        <f>COUNTIFS(已簽約店家!$B:$B,A56,已簽約店家!$C:$C,B56)</f>
        <v/>
      </c>
      <c r="E56" t="inlineStr"/>
      <c r="F56" t="inlineStr">
        <is>
          <t>正常</t>
        </is>
      </c>
      <c r="G56" t="inlineStr"/>
      <c r="H56" t="inlineStr">
        <is>
          <t>2</t>
        </is>
      </c>
    </row>
    <row r="57">
      <c r="A57" t="inlineStr">
        <is>
          <t>台中市</t>
        </is>
      </c>
      <c r="B57" t="inlineStr">
        <is>
          <t>北區</t>
        </is>
      </c>
      <c r="C57" t="inlineStr">
        <is>
          <t>143563</t>
        </is>
      </c>
      <c r="D57">
        <f>COUNTIFS(已簽約店家!$B:$B,A57,已簽約店家!$C:$C,B57)</f>
        <v/>
      </c>
      <c r="E57" t="inlineStr"/>
      <c r="F57" t="inlineStr">
        <is>
          <t>正常</t>
        </is>
      </c>
      <c r="G57" t="inlineStr"/>
      <c r="H57" t="inlineStr">
        <is>
          <t>4</t>
        </is>
      </c>
    </row>
    <row r="58">
      <c r="A58" t="inlineStr">
        <is>
          <t>台中市</t>
        </is>
      </c>
      <c r="B58" t="inlineStr">
        <is>
          <t>西區</t>
        </is>
      </c>
      <c r="C58" t="inlineStr">
        <is>
          <t>115000</t>
        </is>
      </c>
      <c r="D58">
        <f>COUNTIFS(已簽約店家!$B:$B,A58,已簽約店家!$C:$C,B58)</f>
        <v/>
      </c>
      <c r="E58" t="inlineStr"/>
      <c r="F58" t="inlineStr">
        <is>
          <t>正常</t>
        </is>
      </c>
      <c r="G58" t="inlineStr"/>
      <c r="H58" t="inlineStr">
        <is>
          <t>3</t>
        </is>
      </c>
    </row>
    <row r="59">
      <c r="A59" t="inlineStr">
        <is>
          <t>台中市</t>
        </is>
      </c>
      <c r="B59" t="inlineStr">
        <is>
          <t>龍井區</t>
        </is>
      </c>
      <c r="C59" t="inlineStr">
        <is>
          <t>79069</t>
        </is>
      </c>
      <c r="D59">
        <f>COUNTIFS(已簽約店家!$B:$B,A59,已簽約店家!$C:$C,B59)</f>
        <v/>
      </c>
      <c r="E59" t="inlineStr"/>
      <c r="F59" t="inlineStr">
        <is>
          <t>正常</t>
        </is>
      </c>
      <c r="G59" t="inlineStr"/>
      <c r="H59" t="inlineStr">
        <is>
          <t>2</t>
        </is>
      </c>
    </row>
    <row r="60">
      <c r="A60" t="inlineStr">
        <is>
          <t>台中市</t>
        </is>
      </c>
      <c r="B60" t="inlineStr">
        <is>
          <t>中區</t>
        </is>
      </c>
      <c r="C60" t="inlineStr">
        <is>
          <t>17921</t>
        </is>
      </c>
      <c r="D60">
        <f>COUNTIFS(已簽約店家!$B:$B,A60,已簽約店家!$C:$C,B60)</f>
        <v/>
      </c>
      <c r="E60" t="inlineStr"/>
      <c r="F60" t="inlineStr">
        <is>
          <t>正常</t>
        </is>
      </c>
      <c r="G60" t="inlineStr"/>
      <c r="H60" t="inlineStr">
        <is>
          <t>1</t>
        </is>
      </c>
    </row>
    <row r="61">
      <c r="A61" t="inlineStr">
        <is>
          <t>南投縣</t>
        </is>
      </c>
      <c r="B61" t="inlineStr">
        <is>
          <t>南投市</t>
        </is>
      </c>
      <c r="C61" t="inlineStr">
        <is>
          <t>96077</t>
        </is>
      </c>
      <c r="D61">
        <f>COUNTIFS(已簽約店家!$B:$B,A61,已簽約店家!$C:$C,B61)</f>
        <v/>
      </c>
      <c r="E61" t="inlineStr"/>
      <c r="F61" t="inlineStr">
        <is>
          <t>不開放</t>
        </is>
      </c>
      <c r="G61" t="inlineStr">
        <is>
          <t>舊約額滿</t>
        </is>
      </c>
      <c r="H61" t="inlineStr">
        <is>
          <t>2</t>
        </is>
      </c>
    </row>
    <row r="62">
      <c r="A62" t="inlineStr">
        <is>
          <t>南投縣</t>
        </is>
      </c>
      <c r="B62" t="inlineStr">
        <is>
          <t>埔里鎮</t>
        </is>
      </c>
      <c r="C62" t="inlineStr">
        <is>
          <t>75635</t>
        </is>
      </c>
      <c r="D62">
        <f>COUNTIFS(已簽約店家!$B:$B,A62,已簽約店家!$C:$C,B62)</f>
        <v/>
      </c>
      <c r="E62" t="inlineStr"/>
      <c r="F62" t="inlineStr">
        <is>
          <t>正常</t>
        </is>
      </c>
      <c r="G62" t="inlineStr"/>
      <c r="H62" t="inlineStr">
        <is>
          <t>2</t>
        </is>
      </c>
    </row>
    <row r="63">
      <c r="A63" t="inlineStr">
        <is>
          <t>南投縣</t>
        </is>
      </c>
      <c r="B63" t="inlineStr">
        <is>
          <t>草屯鎮</t>
        </is>
      </c>
      <c r="C63" t="inlineStr">
        <is>
          <t>97839</t>
        </is>
      </c>
      <c r="D63">
        <f>COUNTIFS(已簽約店家!$B:$B,A63,已簽約店家!$C:$C,B63)</f>
        <v/>
      </c>
      <c r="E63" t="inlineStr"/>
      <c r="F63" t="inlineStr">
        <is>
          <t>不開放</t>
        </is>
      </c>
      <c r="G63" t="inlineStr">
        <is>
          <t>舊約額滿</t>
        </is>
      </c>
      <c r="H63" t="inlineStr">
        <is>
          <t>2</t>
        </is>
      </c>
    </row>
    <row r="64">
      <c r="A64" t="inlineStr">
        <is>
          <t>彰化縣</t>
        </is>
      </c>
      <c r="B64" t="inlineStr">
        <is>
          <t>彰化市</t>
        </is>
      </c>
      <c r="C64" t="inlineStr">
        <is>
          <t>220067</t>
        </is>
      </c>
      <c r="D64">
        <f>COUNTIFS(已簽約店家!$B:$B,A64,已簽約店家!$C:$C,B64)</f>
        <v/>
      </c>
      <c r="E64" t="inlineStr"/>
      <c r="F64" t="inlineStr">
        <is>
          <t>正常</t>
        </is>
      </c>
      <c r="G64" t="inlineStr"/>
      <c r="H64" t="inlineStr">
        <is>
          <t>6</t>
        </is>
      </c>
    </row>
    <row r="65">
      <c r="A65" t="inlineStr">
        <is>
          <t>彰化縣</t>
        </is>
      </c>
      <c r="B65" t="inlineStr">
        <is>
          <t>員林市</t>
        </is>
      </c>
      <c r="C65" t="inlineStr">
        <is>
          <t>122013</t>
        </is>
      </c>
      <c r="D65">
        <f>COUNTIFS(已簽約店家!$B:$B,A65,已簽約店家!$C:$C,B65)</f>
        <v/>
      </c>
      <c r="E65" t="inlineStr"/>
      <c r="F65" t="inlineStr">
        <is>
          <t>正常</t>
        </is>
      </c>
      <c r="G65" t="inlineStr"/>
      <c r="H65" t="inlineStr">
        <is>
          <t>3</t>
        </is>
      </c>
    </row>
    <row r="66">
      <c r="A66" t="inlineStr">
        <is>
          <t>彰化縣</t>
        </is>
      </c>
      <c r="B66" t="inlineStr">
        <is>
          <t>和美鎮</t>
        </is>
      </c>
      <c r="C66" t="inlineStr">
        <is>
          <t>86499</t>
        </is>
      </c>
      <c r="D66">
        <f>COUNTIFS(已簽約店家!$B:$B,A66,已簽約店家!$C:$C,B66)</f>
        <v/>
      </c>
      <c r="E66" t="inlineStr"/>
      <c r="F66" t="inlineStr">
        <is>
          <t>正常</t>
        </is>
      </c>
      <c r="G66" t="inlineStr"/>
      <c r="H66" t="inlineStr">
        <is>
          <t>1</t>
        </is>
      </c>
    </row>
    <row r="67">
      <c r="A67" t="inlineStr">
        <is>
          <t>彰化縣</t>
        </is>
      </c>
      <c r="B67" t="inlineStr">
        <is>
          <t>鹿港鎮</t>
        </is>
      </c>
      <c r="C67" t="inlineStr">
        <is>
          <t>82120</t>
        </is>
      </c>
      <c r="D67">
        <f>COUNTIFS(已簽約店家!$B:$B,A67,已簽約店家!$C:$C,B67)</f>
        <v/>
      </c>
      <c r="E67" t="inlineStr"/>
      <c r="F67" t="inlineStr">
        <is>
          <t>正常</t>
        </is>
      </c>
      <c r="G67" t="inlineStr"/>
      <c r="H67" t="inlineStr">
        <is>
          <t>1</t>
        </is>
      </c>
    </row>
    <row r="68">
      <c r="A68" t="inlineStr">
        <is>
          <t>彰化縣</t>
        </is>
      </c>
      <c r="B68" t="inlineStr">
        <is>
          <t>溪湖鎮</t>
        </is>
      </c>
      <c r="C68" t="inlineStr">
        <is>
          <t>52695</t>
        </is>
      </c>
      <c r="D68">
        <f>COUNTIFS(已簽約店家!$B:$B,A68,已簽約店家!$C:$C,B68)</f>
        <v/>
      </c>
      <c r="E68" t="inlineStr"/>
      <c r="F68" t="inlineStr">
        <is>
          <t>正常</t>
        </is>
      </c>
      <c r="G68" t="inlineStr"/>
      <c r="H68" t="inlineStr">
        <is>
          <t>1</t>
        </is>
      </c>
    </row>
    <row r="69">
      <c r="A69" t="inlineStr">
        <is>
          <t>彰化縣</t>
        </is>
      </c>
      <c r="B69" t="inlineStr">
        <is>
          <t>二林鎮</t>
        </is>
      </c>
      <c r="C69" t="inlineStr">
        <is>
          <t>46342</t>
        </is>
      </c>
      <c r="D69">
        <f>COUNTIFS(已簽約店家!$B:$B,A69,已簽約店家!$C:$C,B69)</f>
        <v/>
      </c>
      <c r="E69" t="inlineStr"/>
      <c r="F69" t="inlineStr">
        <is>
          <t>正常</t>
        </is>
      </c>
      <c r="G69" t="inlineStr"/>
      <c r="H69" t="inlineStr">
        <is>
          <t>1</t>
        </is>
      </c>
    </row>
    <row r="70">
      <c r="A70" t="inlineStr">
        <is>
          <t>彰化縣</t>
        </is>
      </c>
      <c r="B70" t="inlineStr">
        <is>
          <t>福興鄉</t>
        </is>
      </c>
      <c r="C70" t="inlineStr">
        <is>
          <t>44177</t>
        </is>
      </c>
      <c r="D70">
        <f>COUNTIFS(已簽約店家!$B:$B,A70,已簽約店家!$C:$C,B70)</f>
        <v/>
      </c>
      <c r="E70" t="inlineStr"/>
      <c r="F70" t="inlineStr">
        <is>
          <t>正常</t>
        </is>
      </c>
      <c r="G70" t="inlineStr"/>
      <c r="H70" t="inlineStr">
        <is>
          <t>1</t>
        </is>
      </c>
    </row>
    <row r="71">
      <c r="A71" t="inlineStr">
        <is>
          <t>彰化縣</t>
        </is>
      </c>
      <c r="B71" t="inlineStr">
        <is>
          <t>花壇鄉</t>
        </is>
      </c>
      <c r="C71" t="inlineStr">
        <is>
          <t>42768</t>
        </is>
      </c>
      <c r="D71">
        <f>COUNTIFS(已簽約店家!$B:$B,A71,已簽約店家!$C:$C,B71)</f>
        <v/>
      </c>
      <c r="E71" t="inlineStr"/>
      <c r="F71" t="inlineStr">
        <is>
          <t>正常</t>
        </is>
      </c>
      <c r="G71" t="inlineStr"/>
      <c r="H71" t="inlineStr">
        <is>
          <t>1</t>
        </is>
      </c>
    </row>
    <row r="72">
      <c r="A72" t="inlineStr">
        <is>
          <t>彰化縣</t>
        </is>
      </c>
      <c r="B72" t="inlineStr">
        <is>
          <t>社頭鄉</t>
        </is>
      </c>
      <c r="C72" t="inlineStr">
        <is>
          <t>40205</t>
        </is>
      </c>
      <c r="D72">
        <f>COUNTIFS(已簽約店家!$B:$B,A72,已簽約店家!$C:$C,B72)</f>
        <v/>
      </c>
      <c r="E72" t="inlineStr"/>
      <c r="F72" t="inlineStr">
        <is>
          <t>正常</t>
        </is>
      </c>
      <c r="G72" t="inlineStr"/>
      <c r="H72" t="inlineStr">
        <is>
          <t>1</t>
        </is>
      </c>
    </row>
    <row r="73">
      <c r="A73" t="inlineStr">
        <is>
          <t>彰化縣</t>
        </is>
      </c>
      <c r="B73" t="inlineStr">
        <is>
          <t>大村鄉</t>
        </is>
      </c>
      <c r="C73" t="inlineStr">
        <is>
          <t>38851</t>
        </is>
      </c>
      <c r="D73">
        <f>COUNTIFS(已簽約店家!$B:$B,A73,已簽約店家!$C:$C,B73)</f>
        <v/>
      </c>
      <c r="E73" t="inlineStr"/>
      <c r="F73" t="inlineStr">
        <is>
          <t>正常</t>
        </is>
      </c>
      <c r="G73" t="inlineStr"/>
      <c r="H73" t="inlineStr">
        <is>
          <t>1</t>
        </is>
      </c>
    </row>
    <row r="74">
      <c r="A74" t="inlineStr">
        <is>
          <t>彰化縣</t>
        </is>
      </c>
      <c r="B74" t="inlineStr">
        <is>
          <t>田中鎮</t>
        </is>
      </c>
      <c r="C74" t="inlineStr">
        <is>
          <t>38204</t>
        </is>
      </c>
      <c r="D74">
        <f>COUNTIFS(已簽約店家!$B:$B,A74,已簽約店家!$C:$C,B74)</f>
        <v/>
      </c>
      <c r="E74" t="inlineStr"/>
      <c r="F74" t="inlineStr">
        <is>
          <t>正常</t>
        </is>
      </c>
      <c r="G74" t="inlineStr"/>
      <c r="H74" t="inlineStr">
        <is>
          <t>1</t>
        </is>
      </c>
    </row>
    <row r="75">
      <c r="A75" t="inlineStr">
        <is>
          <t>彰化縣</t>
        </is>
      </c>
      <c r="B75" t="inlineStr">
        <is>
          <t>伸港鄉</t>
        </is>
      </c>
      <c r="C75" t="inlineStr">
        <is>
          <t>38071</t>
        </is>
      </c>
      <c r="D75">
        <f>COUNTIFS(已簽約店家!$B:$B,A75,已簽約店家!$C:$C,B75)</f>
        <v/>
      </c>
      <c r="E75" t="inlineStr"/>
      <c r="F75" t="inlineStr">
        <is>
          <t>正常</t>
        </is>
      </c>
      <c r="G75" t="inlineStr"/>
      <c r="H75" t="inlineStr">
        <is>
          <t>1</t>
        </is>
      </c>
    </row>
    <row r="76">
      <c r="A76" t="inlineStr">
        <is>
          <t>彰化縣</t>
        </is>
      </c>
      <c r="B76" t="inlineStr">
        <is>
          <t>秀水鄉</t>
        </is>
      </c>
      <c r="C76" t="inlineStr">
        <is>
          <t>37270</t>
        </is>
      </c>
      <c r="D76">
        <f>COUNTIFS(已簽約店家!$B:$B,A76,已簽約店家!$C:$C,B76)</f>
        <v/>
      </c>
      <c r="E76" t="inlineStr"/>
      <c r="F76" t="inlineStr">
        <is>
          <t>正常</t>
        </is>
      </c>
      <c r="G76" t="inlineStr"/>
      <c r="H76" t="inlineStr">
        <is>
          <t>1</t>
        </is>
      </c>
    </row>
    <row r="77">
      <c r="A77" t="inlineStr">
        <is>
          <t>雲林縣</t>
        </is>
      </c>
      <c r="B77" t="inlineStr">
        <is>
          <t>斗六市</t>
        </is>
      </c>
      <c r="C77" t="inlineStr">
        <is>
          <t>108937</t>
        </is>
      </c>
      <c r="D77">
        <f>COUNTIFS(已簽約店家!$B:$B,A77,已簽約店家!$C:$C,B77)</f>
        <v/>
      </c>
      <c r="E77" t="inlineStr"/>
      <c r="F77" t="inlineStr">
        <is>
          <t>不開放</t>
        </is>
      </c>
      <c r="G77" t="inlineStr">
        <is>
          <t>舊約額滿</t>
        </is>
      </c>
      <c r="H77" t="inlineStr">
        <is>
          <t>4</t>
        </is>
      </c>
    </row>
    <row r="78">
      <c r="A78" t="inlineStr">
        <is>
          <t>雲林縣</t>
        </is>
      </c>
      <c r="B78" t="inlineStr">
        <is>
          <t>虎尾鎮</t>
        </is>
      </c>
      <c r="C78" t="inlineStr">
        <is>
          <t>71255</t>
        </is>
      </c>
      <c r="D78">
        <f>COUNTIFS(已簽約店家!$B:$B,A78,已簽約店家!$C:$C,B78)</f>
        <v/>
      </c>
      <c r="E78" t="inlineStr"/>
      <c r="F78" t="inlineStr">
        <is>
          <t>正常</t>
        </is>
      </c>
      <c r="G78" t="inlineStr"/>
      <c r="H78" t="inlineStr">
        <is>
          <t>2</t>
        </is>
      </c>
    </row>
    <row r="79">
      <c r="A79" t="inlineStr">
        <is>
          <t>雲林縣</t>
        </is>
      </c>
      <c r="B79" t="inlineStr">
        <is>
          <t>西螺鎮</t>
        </is>
      </c>
      <c r="C79" t="inlineStr">
        <is>
          <t>43925</t>
        </is>
      </c>
      <c r="D79">
        <f>COUNTIFS(已簽約店家!$B:$B,A79,已簽約店家!$C:$C,B79)</f>
        <v/>
      </c>
      <c r="E79" t="inlineStr"/>
      <c r="F79" t="inlineStr">
        <is>
          <t>正常</t>
        </is>
      </c>
      <c r="G79" t="inlineStr"/>
      <c r="H79" t="inlineStr">
        <is>
          <t>1</t>
        </is>
      </c>
    </row>
    <row r="80">
      <c r="A80" t="inlineStr">
        <is>
          <t>雲林縣</t>
        </is>
      </c>
      <c r="B80" t="inlineStr">
        <is>
          <t>斗南鎮</t>
        </is>
      </c>
      <c r="C80" t="inlineStr">
        <is>
          <t>43285</t>
        </is>
      </c>
      <c r="D80">
        <f>COUNTIFS(已簽約店家!$B:$B,A80,已簽約店家!$C:$C,B80)</f>
        <v/>
      </c>
      <c r="E80" t="inlineStr"/>
      <c r="F80" t="inlineStr">
        <is>
          <t>正常</t>
        </is>
      </c>
      <c r="G80" t="inlineStr"/>
      <c r="H80" t="inlineStr">
        <is>
          <t>1</t>
        </is>
      </c>
    </row>
    <row r="81">
      <c r="A81" t="inlineStr">
        <is>
          <t>雲林縣</t>
        </is>
      </c>
      <c r="B81" t="inlineStr">
        <is>
          <t>北港鎮</t>
        </is>
      </c>
      <c r="C81" t="inlineStr">
        <is>
          <t>36951</t>
        </is>
      </c>
      <c r="D81">
        <f>COUNTIFS(已簽約店家!$B:$B,A81,已簽約店家!$C:$C,B81)</f>
        <v/>
      </c>
      <c r="E81" t="inlineStr"/>
      <c r="F81" t="inlineStr">
        <is>
          <t>正常</t>
        </is>
      </c>
      <c r="G81" t="inlineStr"/>
      <c r="H81" t="inlineStr">
        <is>
          <t>1</t>
        </is>
      </c>
    </row>
    <row r="82">
      <c r="A82" t="inlineStr">
        <is>
          <t>嘉義市</t>
        </is>
      </c>
      <c r="B82" t="inlineStr">
        <is>
          <t>西區</t>
        </is>
      </c>
      <c r="C82" t="inlineStr">
        <is>
          <t>145047</t>
        </is>
      </c>
      <c r="D82">
        <f>COUNTIFS(已簽約店家!$B:$B,A82,已簽約店家!$C:$C,B82)</f>
        <v/>
      </c>
      <c r="E82" t="inlineStr"/>
      <c r="F82" t="inlineStr">
        <is>
          <t>正常</t>
        </is>
      </c>
      <c r="G82" t="inlineStr"/>
      <c r="H82" t="inlineStr">
        <is>
          <t>4</t>
        </is>
      </c>
    </row>
    <row r="83">
      <c r="A83" t="inlineStr">
        <is>
          <t>嘉義市</t>
        </is>
      </c>
      <c r="B83" t="inlineStr">
        <is>
          <t>東區</t>
        </is>
      </c>
      <c r="C83" t="inlineStr">
        <is>
          <t>116482</t>
        </is>
      </c>
      <c r="D83">
        <f>COUNTIFS(已簽約店家!$B:$B,A83,已簽約店家!$C:$C,B83)</f>
        <v/>
      </c>
      <c r="E83" t="inlineStr"/>
      <c r="F83" t="inlineStr">
        <is>
          <t>不開放</t>
        </is>
      </c>
      <c r="G83" t="inlineStr">
        <is>
          <t>舊約額滿</t>
        </is>
      </c>
      <c r="H83" t="inlineStr">
        <is>
          <t>4</t>
        </is>
      </c>
    </row>
    <row r="84">
      <c r="A84" t="inlineStr">
        <is>
          <t>嘉義縣</t>
        </is>
      </c>
      <c r="B84" t="inlineStr">
        <is>
          <t>民雄鄉</t>
        </is>
      </c>
      <c r="C84" t="inlineStr">
        <is>
          <t>69731</t>
        </is>
      </c>
      <c r="D84">
        <f>COUNTIFS(已簽約店家!$B:$B,A84,已簽約店家!$C:$C,B84)</f>
        <v/>
      </c>
      <c r="E84" t="inlineStr"/>
      <c r="F84" t="inlineStr">
        <is>
          <t>不開放</t>
        </is>
      </c>
      <c r="G84" t="inlineStr">
        <is>
          <t>舊約額滿</t>
        </is>
      </c>
      <c r="H84" t="inlineStr">
        <is>
          <t>2</t>
        </is>
      </c>
    </row>
    <row r="85">
      <c r="A85" t="inlineStr">
        <is>
          <t>嘉義縣</t>
        </is>
      </c>
      <c r="B85" t="inlineStr">
        <is>
          <t>水上鄉</t>
        </is>
      </c>
      <c r="C85" t="inlineStr">
        <is>
          <t>46751</t>
        </is>
      </c>
      <c r="D85">
        <f>COUNTIFS(已簽約店家!$B:$B,A85,已簽約店家!$C:$C,B85)</f>
        <v/>
      </c>
      <c r="E85" t="inlineStr"/>
      <c r="F85" t="inlineStr">
        <is>
          <t>正常</t>
        </is>
      </c>
      <c r="G85" t="inlineStr"/>
      <c r="H85" t="inlineStr">
        <is>
          <t>1</t>
        </is>
      </c>
    </row>
    <row r="86">
      <c r="A86" t="inlineStr">
        <is>
          <t>嘉義縣</t>
        </is>
      </c>
      <c r="B86" t="inlineStr">
        <is>
          <t>中埔鄉</t>
        </is>
      </c>
      <c r="C86" t="inlineStr">
        <is>
          <t>41524</t>
        </is>
      </c>
      <c r="D86">
        <f>COUNTIFS(已簽約店家!$B:$B,A86,已簽約店家!$C:$C,B86)</f>
        <v/>
      </c>
      <c r="E86" t="inlineStr"/>
      <c r="F86" t="inlineStr">
        <is>
          <t>正常</t>
        </is>
      </c>
      <c r="G86" t="inlineStr"/>
      <c r="H86" t="inlineStr">
        <is>
          <t>1</t>
        </is>
      </c>
    </row>
    <row r="87">
      <c r="A87" t="inlineStr">
        <is>
          <t>嘉義縣</t>
        </is>
      </c>
      <c r="B87" t="inlineStr">
        <is>
          <t>朴子市</t>
        </is>
      </c>
      <c r="C87" t="inlineStr">
        <is>
          <t>39957</t>
        </is>
      </c>
      <c r="D87">
        <f>COUNTIFS(已簽約店家!$B:$B,A87,已簽約店家!$C:$C,B87)</f>
        <v/>
      </c>
      <c r="E87" t="inlineStr"/>
      <c r="F87" t="inlineStr">
        <is>
          <t>正常</t>
        </is>
      </c>
      <c r="G87" t="inlineStr"/>
      <c r="H87" t="inlineStr">
        <is>
          <t>1</t>
        </is>
      </c>
    </row>
    <row r="88">
      <c r="A88" t="inlineStr">
        <is>
          <t>嘉義縣</t>
        </is>
      </c>
      <c r="B88" t="inlineStr">
        <is>
          <t>太保市</t>
        </is>
      </c>
      <c r="C88" t="inlineStr">
        <is>
          <t>39875</t>
        </is>
      </c>
      <c r="D88">
        <f>COUNTIFS(已簽約店家!$B:$B,A88,已簽約店家!$C:$C,B88)</f>
        <v/>
      </c>
      <c r="E88" t="inlineStr"/>
      <c r="F88" t="inlineStr">
        <is>
          <t>正常</t>
        </is>
      </c>
      <c r="G88" t="inlineStr"/>
      <c r="H88" t="inlineStr">
        <is>
          <t>1</t>
        </is>
      </c>
    </row>
    <row r="89">
      <c r="A89" t="inlineStr">
        <is>
          <t>台南市</t>
        </is>
      </c>
      <c r="B89" t="inlineStr">
        <is>
          <t>東區</t>
        </is>
      </c>
      <c r="C89" t="inlineStr">
        <is>
          <t>180556</t>
        </is>
      </c>
      <c r="D89">
        <f>COUNTIFS(已簽約店家!$B:$B,A89,已簽約店家!$C:$C,B89)</f>
        <v/>
      </c>
      <c r="E89" t="inlineStr"/>
      <c r="F89" t="inlineStr">
        <is>
          <t>不開放</t>
        </is>
      </c>
      <c r="G89" t="inlineStr">
        <is>
          <t>舊約額滿</t>
        </is>
      </c>
      <c r="H89" t="inlineStr">
        <is>
          <t>4</t>
        </is>
      </c>
    </row>
    <row r="90">
      <c r="A90" t="inlineStr">
        <is>
          <t>台南市</t>
        </is>
      </c>
      <c r="B90" t="inlineStr">
        <is>
          <t>永康區</t>
        </is>
      </c>
      <c r="C90" t="inlineStr">
        <is>
          <t>235963</t>
        </is>
      </c>
      <c r="D90">
        <f>COUNTIFS(已簽約店家!$B:$B,A90,已簽約店家!$C:$C,B90)</f>
        <v/>
      </c>
      <c r="E90" t="inlineStr"/>
      <c r="F90" t="inlineStr">
        <is>
          <t>正常</t>
        </is>
      </c>
      <c r="G90" t="inlineStr"/>
      <c r="H90" t="inlineStr">
        <is>
          <t>6</t>
        </is>
      </c>
    </row>
    <row r="91">
      <c r="A91" t="inlineStr">
        <is>
          <t>台南市</t>
        </is>
      </c>
      <c r="B91" t="inlineStr">
        <is>
          <t>中西區</t>
        </is>
      </c>
      <c r="C91" t="inlineStr">
        <is>
          <t>76683</t>
        </is>
      </c>
      <c r="D91">
        <f>COUNTIFS(已簽約店家!$B:$B,A91,已簽約店家!$C:$C,B91)</f>
        <v/>
      </c>
      <c r="E91" t="inlineStr"/>
      <c r="F91" t="inlineStr">
        <is>
          <t>不開放</t>
        </is>
      </c>
      <c r="G91" t="inlineStr">
        <is>
          <t>舊約額滿</t>
        </is>
      </c>
      <c r="H91" t="inlineStr">
        <is>
          <t>2</t>
        </is>
      </c>
    </row>
    <row r="92">
      <c r="A92" t="inlineStr">
        <is>
          <t>高雄市</t>
        </is>
      </c>
      <c r="B92" t="inlineStr">
        <is>
          <t>仁武區</t>
        </is>
      </c>
      <c r="C92" t="inlineStr">
        <is>
          <t>99541</t>
        </is>
      </c>
      <c r="D92">
        <f>COUNTIFS(已簽約店家!$B:$B,A92,已簽約店家!$C:$C,B92)</f>
        <v/>
      </c>
      <c r="E92" t="inlineStr"/>
      <c r="F92" t="inlineStr">
        <is>
          <t>正常</t>
        </is>
      </c>
      <c r="G92" t="inlineStr"/>
      <c r="H92" t="inlineStr">
        <is>
          <t>2</t>
        </is>
      </c>
    </row>
    <row r="93">
      <c r="A93" t="inlineStr">
        <is>
          <t>高雄市</t>
        </is>
      </c>
      <c r="B93" t="inlineStr">
        <is>
          <t>三民區</t>
        </is>
      </c>
      <c r="C93" t="inlineStr">
        <is>
          <t>328532</t>
        </is>
      </c>
      <c r="D93">
        <f>COUNTIFS(已簽約店家!$B:$B,A93,已簽約店家!$C:$C,B93)</f>
        <v/>
      </c>
      <c r="E93" t="inlineStr"/>
      <c r="F93" t="inlineStr">
        <is>
          <t>正常</t>
        </is>
      </c>
      <c r="G93" t="inlineStr"/>
      <c r="H93" t="inlineStr">
        <is>
          <t>6</t>
        </is>
      </c>
    </row>
    <row r="94">
      <c r="A94" t="inlineStr">
        <is>
          <t>高雄市</t>
        </is>
      </c>
      <c r="B94" t="inlineStr">
        <is>
          <t>苓雅區</t>
        </is>
      </c>
      <c r="C94" t="inlineStr">
        <is>
          <t>160900</t>
        </is>
      </c>
      <c r="D94">
        <f>COUNTIFS(已簽約店家!$B:$B,A94,已簽約店家!$C:$C,B94)</f>
        <v/>
      </c>
      <c r="E94" t="inlineStr"/>
      <c r="F94" t="inlineStr">
        <is>
          <t>正常</t>
        </is>
      </c>
      <c r="G94" t="inlineStr"/>
      <c r="H94" t="inlineStr">
        <is>
          <t>3</t>
        </is>
      </c>
    </row>
    <row r="95">
      <c r="A95" t="inlineStr">
        <is>
          <t>高雄市</t>
        </is>
      </c>
      <c r="B95" t="inlineStr">
        <is>
          <t>前鎮區</t>
        </is>
      </c>
      <c r="C95" t="inlineStr">
        <is>
          <t>176568</t>
        </is>
      </c>
      <c r="D95">
        <f>COUNTIFS(已簽約店家!$B:$B,A95,已簽約店家!$C:$C,B95)</f>
        <v/>
      </c>
      <c r="E95" t="inlineStr"/>
      <c r="F95" t="inlineStr">
        <is>
          <t>正常</t>
        </is>
      </c>
      <c r="G95" t="inlineStr"/>
      <c r="H95" t="inlineStr">
        <is>
          <t>3</t>
        </is>
      </c>
    </row>
    <row r="96">
      <c r="A96" t="inlineStr">
        <is>
          <t>高雄市</t>
        </is>
      </c>
      <c r="B96" t="inlineStr">
        <is>
          <t>左營區</t>
        </is>
      </c>
      <c r="C96" t="inlineStr">
        <is>
          <t>198000</t>
        </is>
      </c>
      <c r="D96">
        <f>COUNTIFS(已簽約店家!$B:$B,A96,已簽約店家!$C:$C,B96)</f>
        <v/>
      </c>
      <c r="E96" t="inlineStr"/>
      <c r="F96" t="inlineStr">
        <is>
          <t>正常</t>
        </is>
      </c>
      <c r="G96" t="inlineStr"/>
      <c r="H96" t="inlineStr">
        <is>
          <t>3</t>
        </is>
      </c>
    </row>
    <row r="97">
      <c r="A97" t="inlineStr">
        <is>
          <t>屏東縣</t>
        </is>
      </c>
      <c r="B97" t="inlineStr">
        <is>
          <t>屏東市</t>
        </is>
      </c>
      <c r="C97" t="inlineStr">
        <is>
          <t>191218</t>
        </is>
      </c>
      <c r="D97">
        <f>COUNTIFS(已簽約店家!$B:$B,A97,已簽約店家!$C:$C,B97)</f>
        <v/>
      </c>
      <c r="E97" t="inlineStr"/>
      <c r="F97" t="inlineStr">
        <is>
          <t>正常</t>
        </is>
      </c>
      <c r="G97" t="inlineStr"/>
      <c r="H97" t="inlineStr">
        <is>
          <t>3</t>
        </is>
      </c>
    </row>
    <row r="98">
      <c r="A98" t="inlineStr">
        <is>
          <t>屏東縣</t>
        </is>
      </c>
      <c r="B98" t="inlineStr">
        <is>
          <t>潮州鎮</t>
        </is>
      </c>
      <c r="C98" t="inlineStr">
        <is>
          <t>53689</t>
        </is>
      </c>
      <c r="D98">
        <f>COUNTIFS(已簽約店家!$B:$B,A98,已簽約店家!$C:$C,B98)</f>
        <v/>
      </c>
      <c r="E98" t="inlineStr"/>
      <c r="F98" t="inlineStr">
        <is>
          <t>正常</t>
        </is>
      </c>
      <c r="G98" t="inlineStr"/>
      <c r="H98" t="inlineStr">
        <is>
          <t>1</t>
        </is>
      </c>
    </row>
    <row r="99">
      <c r="A99" t="inlineStr">
        <is>
          <t>屏東縣</t>
        </is>
      </c>
      <c r="B99" t="inlineStr">
        <is>
          <t>內埔鄉</t>
        </is>
      </c>
      <c r="C99" t="inlineStr">
        <is>
          <t>52702</t>
        </is>
      </c>
      <c r="D99">
        <f>COUNTIFS(已簽約店家!$B:$B,A99,已簽約店家!$C:$C,B99)</f>
        <v/>
      </c>
      <c r="E99" t="inlineStr"/>
      <c r="F99" t="inlineStr">
        <is>
          <t>正常</t>
        </is>
      </c>
      <c r="G99" t="inlineStr"/>
      <c r="H99" t="inlineStr">
        <is>
          <t>1</t>
        </is>
      </c>
    </row>
    <row r="100">
      <c r="A100" t="inlineStr">
        <is>
          <t>屏東縣</t>
        </is>
      </c>
      <c r="B100" t="inlineStr">
        <is>
          <t>萬丹鄉</t>
        </is>
      </c>
      <c r="C100" t="inlineStr">
        <is>
          <t>48623</t>
        </is>
      </c>
      <c r="D100">
        <f>COUNTIFS(已簽約店家!$B:$B,A100,已簽約店家!$C:$C,B100)</f>
        <v/>
      </c>
      <c r="E100" t="inlineStr"/>
      <c r="F100" t="inlineStr">
        <is>
          <t>正常</t>
        </is>
      </c>
      <c r="G100" t="inlineStr"/>
      <c r="H100" t="inlineStr">
        <is>
          <t>1</t>
        </is>
      </c>
    </row>
    <row r="101">
      <c r="A101" t="inlineStr">
        <is>
          <t>屏東縣</t>
        </is>
      </c>
      <c r="B101" t="inlineStr">
        <is>
          <t>東港鎮</t>
        </is>
      </c>
      <c r="C101" t="inlineStr">
        <is>
          <t>45809</t>
        </is>
      </c>
      <c r="D101">
        <f>COUNTIFS(已簽約店家!$B:$B,A101,已簽約店家!$C:$C,B101)</f>
        <v/>
      </c>
      <c r="E101" t="inlineStr"/>
      <c r="F101" t="inlineStr">
        <is>
          <t>正常</t>
        </is>
      </c>
      <c r="G101" t="inlineStr"/>
      <c r="H101" t="inlineStr">
        <is>
          <t>1</t>
        </is>
      </c>
    </row>
    <row r="102">
      <c r="A102" t="inlineStr">
        <is>
          <t>花蓮縣</t>
        </is>
      </c>
      <c r="B102" t="inlineStr">
        <is>
          <t>吉安鄉</t>
        </is>
      </c>
      <c r="C102" t="inlineStr">
        <is>
          <t>82938</t>
        </is>
      </c>
      <c r="D102">
        <f>COUNTIFS(已簽約店家!$B:$B,A102,已簽約店家!$C:$C,B102)</f>
        <v/>
      </c>
      <c r="E102" t="inlineStr"/>
      <c r="F102" t="inlineStr">
        <is>
          <t>正常</t>
        </is>
      </c>
      <c r="G102" t="inlineStr"/>
      <c r="H102" t="inlineStr">
        <is>
          <t>1</t>
        </is>
      </c>
    </row>
    <row r="103">
      <c r="A103" t="inlineStr">
        <is>
          <t>台東縣</t>
        </is>
      </c>
      <c r="B103" t="inlineStr">
        <is>
          <t>台東市</t>
        </is>
      </c>
      <c r="C103" t="inlineStr">
        <is>
          <t>102558</t>
        </is>
      </c>
      <c r="D103">
        <f>COUNTIFS(已簽約店家!$B:$B,A103,已簽約店家!$C:$C,B103)</f>
        <v/>
      </c>
      <c r="E103" t="inlineStr"/>
      <c r="F103" t="inlineStr">
        <is>
          <t>正常</t>
        </is>
      </c>
      <c r="G103" t="inlineStr"/>
      <c r="H103" t="inlineStr">
        <is>
          <t>2</t>
        </is>
      </c>
    </row>
    <row r="104">
      <c r="A104" t="inlineStr">
        <is>
          <t>澎湖縣</t>
        </is>
      </c>
      <c r="B104" t="inlineStr">
        <is>
          <t>馬公市</t>
        </is>
      </c>
      <c r="C104" t="inlineStr">
        <is>
          <t>63090</t>
        </is>
      </c>
      <c r="D104">
        <f>COUNTIFS(已簽約店家!$B:$B,A104,已簽約店家!$C:$C,B104)</f>
        <v/>
      </c>
      <c r="E104" t="inlineStr"/>
      <c r="F104" t="inlineStr">
        <is>
          <t>正常</t>
        </is>
      </c>
      <c r="G104" t="inlineStr"/>
      <c r="H104" t="inlineStr">
        <is>
          <t>2</t>
        </is>
      </c>
    </row>
    <row r="105">
      <c r="A105" t="inlineStr">
        <is>
          <t>金門縣</t>
        </is>
      </c>
      <c r="B105" t="inlineStr">
        <is>
          <t>金寧鄉</t>
        </is>
      </c>
      <c r="C105" t="inlineStr">
        <is>
          <t>35619</t>
        </is>
      </c>
      <c r="D105">
        <f>COUNTIFS(已簽約店家!$B:$B,A105,已簽約店家!$C:$C,B105)</f>
        <v/>
      </c>
      <c r="E105" t="inlineStr"/>
      <c r="F105" t="inlineStr">
        <is>
          <t>正常</t>
        </is>
      </c>
      <c r="G105" t="inlineStr"/>
      <c r="H105" t="inlineStr">
        <is>
          <t>2</t>
        </is>
      </c>
    </row>
    <row r="106">
      <c r="A106" t="inlineStr">
        <is>
          <t>金門縣</t>
        </is>
      </c>
      <c r="B106" t="inlineStr">
        <is>
          <t>金城鎮</t>
        </is>
      </c>
      <c r="C106" t="inlineStr">
        <is>
          <t>40860</t>
        </is>
      </c>
      <c r="D106">
        <f>COUNTIFS(已簽約店家!$B:$B,A106,已簽約店家!$C:$C,B106)</f>
        <v/>
      </c>
      <c r="E106" t="inlineStr"/>
      <c r="F106" t="inlineStr">
        <is>
          <t>正常</t>
        </is>
      </c>
      <c r="G106" t="inlineStr"/>
      <c r="H10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2026-03-22T01:01:47Z</dcterms:created>
  <dcterms:modified xmlns:dcterms="http://purl.org/dc/terms/" xmlns:xsi="http://www.w3.org/2001/XMLSchema-instance" xsi:type="dcterms:W3CDTF">2026-03-22T01:01:47Z</dcterms:modified>
</cp:coreProperties>
</file>